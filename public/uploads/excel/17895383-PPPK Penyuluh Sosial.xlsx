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21A93E35-CEC9-4671-BA35-28F88F3C00F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oal 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1" i="1" l="1"/>
  <c r="J21" i="1"/>
  <c r="H21" i="1"/>
  <c r="F21" i="1"/>
  <c r="D21" i="1"/>
  <c r="L20" i="1"/>
  <c r="J20" i="1"/>
  <c r="H20" i="1"/>
  <c r="F20" i="1"/>
  <c r="D20" i="1"/>
  <c r="L19" i="1"/>
  <c r="J19" i="1"/>
  <c r="H19" i="1"/>
  <c r="F19" i="1"/>
  <c r="D19" i="1"/>
  <c r="L18" i="1"/>
  <c r="J18" i="1"/>
  <c r="H18" i="1"/>
  <c r="F18" i="1"/>
  <c r="D18" i="1"/>
  <c r="L17" i="1"/>
  <c r="J17" i="1"/>
  <c r="H17" i="1"/>
  <c r="F17" i="1"/>
  <c r="D17" i="1"/>
  <c r="L16" i="1"/>
  <c r="J16" i="1"/>
  <c r="H16" i="1"/>
  <c r="F16" i="1"/>
  <c r="D16" i="1"/>
  <c r="L15" i="1"/>
  <c r="J15" i="1"/>
  <c r="H15" i="1"/>
  <c r="F15" i="1"/>
  <c r="D15" i="1"/>
  <c r="L14" i="1"/>
  <c r="J14" i="1"/>
  <c r="H14" i="1"/>
  <c r="F14" i="1"/>
  <c r="D14" i="1"/>
  <c r="L13" i="1"/>
  <c r="J13" i="1"/>
  <c r="H13" i="1"/>
  <c r="F13" i="1"/>
  <c r="D13" i="1"/>
  <c r="L12" i="1"/>
  <c r="J12" i="1"/>
  <c r="H12" i="1"/>
  <c r="F12" i="1"/>
  <c r="D12" i="1"/>
  <c r="L11" i="1"/>
  <c r="J11" i="1"/>
  <c r="H11" i="1"/>
  <c r="F11" i="1"/>
  <c r="D11" i="1"/>
  <c r="L10" i="1"/>
  <c r="J10" i="1"/>
  <c r="H10" i="1"/>
  <c r="F10" i="1"/>
  <c r="D10" i="1"/>
  <c r="L9" i="1"/>
  <c r="J9" i="1"/>
  <c r="H9" i="1"/>
  <c r="F9" i="1"/>
  <c r="D9" i="1"/>
  <c r="L8" i="1"/>
  <c r="J8" i="1"/>
  <c r="H8" i="1"/>
  <c r="F8" i="1"/>
  <c r="D8" i="1"/>
  <c r="L7" i="1"/>
  <c r="J7" i="1"/>
  <c r="H7" i="1"/>
  <c r="F7" i="1"/>
  <c r="D7" i="1"/>
  <c r="L6" i="1"/>
  <c r="J6" i="1"/>
  <c r="H6" i="1"/>
  <c r="F6" i="1"/>
  <c r="D6" i="1"/>
  <c r="L5" i="1"/>
  <c r="J5" i="1"/>
  <c r="H5" i="1"/>
  <c r="F5" i="1"/>
  <c r="D5" i="1"/>
  <c r="L4" i="1"/>
  <c r="J4" i="1"/>
  <c r="H4" i="1"/>
  <c r="F4" i="1"/>
  <c r="D4" i="1"/>
  <c r="L3" i="1"/>
  <c r="J3" i="1"/>
  <c r="H3" i="1"/>
  <c r="F3" i="1"/>
  <c r="D3" i="1"/>
  <c r="L2" i="1"/>
  <c r="J2" i="1"/>
  <c r="H2" i="1"/>
  <c r="F2" i="1"/>
  <c r="D2" i="1"/>
</calcChain>
</file>

<file path=xl/sharedStrings.xml><?xml version="1.0" encoding="utf-8"?>
<sst xmlns="http://schemas.openxmlformats.org/spreadsheetml/2006/main" count="464" uniqueCount="352">
  <si>
    <t>Sub Category</t>
  </si>
  <si>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</si>
  <si>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</si>
  <si>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</si>
  <si>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</si>
  <si>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</si>
  <si>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</si>
  <si>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</si>
  <si>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</si>
  <si>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</si>
  <si>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</si>
  <si>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</si>
  <si>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>Pembahasan</t>
  </si>
  <si>
    <t>Jawaban Benar</t>
  </si>
  <si>
    <t>Kompetensi Teknis</t>
  </si>
  <si>
    <t>Apa yang dimaksud dengan penyuluhan sosial?</t>
  </si>
  <si>
    <t>Kegiatan pendidikan non-formal</t>
  </si>
  <si>
    <t>Kegiatan pengawasan sosial</t>
  </si>
  <si>
    <t>Kegiatan penegakan hukum</t>
  </si>
  <si>
    <t>Kegiatan pemberdayaan dan edukasi masyarakat</t>
  </si>
  <si>
    <t>Kegiatan penanganan konflik sosial</t>
  </si>
  <si>
    <t>Penyuluhan sosial adalah kegiatan pemberdayaan dan edukasi masyarakat yang bertujuan meningkatkan kesadaran dan partisipasi masyarakat dalam berbagai aspek kehidupan.</t>
  </si>
  <si>
    <t>Salah satu prinsip dalam penyuluhan sosial adalah partisipasi. Apa yang dimaksud dengan prinsip ini?</t>
  </si>
  <si>
    <t>Masyarakat hanya sebagai objek</t>
  </si>
  <si>
    <t>Masyarakat dilibatkan dalam proses</t>
  </si>
  <si>
    <t>Masyarakat menolak perubahan</t>
  </si>
  <si>
    <t>Masyarakat diabaikan dalam keputusan</t>
  </si>
  <si>
    <t>Masyarakat menjadi sasaran utama</t>
  </si>
  <si>
    <t>Prinsip partisipasi berarti bahwa masyarakat dilibatkan secara aktif dalam seluruh proses penyuluhan, dari perencanaan hingga evaluasi, sehingga meningkatkan rasa memiliki.</t>
  </si>
  <si>
    <t>Teknik konseling sosial yang berfokus pada mendengarkan dengan empati dan membantu klien memahami perasaannya disebut?</t>
  </si>
  <si>
    <t>Terapi kognitif</t>
  </si>
  <si>
    <t>Konseling direktif</t>
  </si>
  <si>
    <t>Konseling non-direktif</t>
  </si>
  <si>
    <t>Konseling reflektif</t>
  </si>
  <si>
    <t>Konseling integratif</t>
  </si>
  <si>
    <t>Konseling reflektif menekankan pada mendengarkan secara empati dan membantu klien memahami serta mengekspresikan perasaannya, sering digunakan dalam konseling sosial.</t>
  </si>
  <si>
    <t>Dalam teknik konseling sosial, apa yang dimaksud dengan pendekatan behavioral?</t>
  </si>
  <si>
    <t>Mengubah perilaku melalui hukuman</t>
  </si>
  <si>
    <t>Mengubah perilaku melalui penguatan positif</t>
  </si>
  <si>
    <t>Mengubah perilaku melalui edukasi</t>
  </si>
  <si>
    <t>Mengubah perilaku melalui pemahaman</t>
  </si>
  <si>
    <t>Mengubah perilaku melalui tekanan sosial</t>
  </si>
  <si>
    <t>Pendekatan behavioral fokus pada pengubahan perilaku dengan menggunakan teknik penguatan positif atau negatif untuk memperkuat atau melemahkan perilaku tertentu.</t>
  </si>
  <si>
    <t>Pendekatan penyuluhan sosial yang menekankan pada perubahan sosial melalui kerja sama antara penyuluh dan masyarakat disebut?</t>
  </si>
  <si>
    <t>Pendekatan top-down</t>
  </si>
  <si>
    <t>Pendekatan bottom-up</t>
  </si>
  <si>
    <t>Pendekatan konsolidasi</t>
  </si>
  <si>
    <t>Pendekatan partisipatif</t>
  </si>
  <si>
    <t>Pendekatan fasilitatif</t>
  </si>
  <si>
    <t>Pendekatan partisipatif melibatkan masyarakat secara aktif dalam proses penyuluhan untuk mencapai perubahan sosial yang berkelanjutan dan sesuai dengan kebutuhan mereka.</t>
  </si>
  <si>
    <t>Apa perbedaan utama antara pendekatan top-down dan bottom-up dalam penyuluhan sosial?</t>
  </si>
  <si>
    <t>Top-down dari bawah, bottom-up dari atas</t>
  </si>
  <si>
    <t>Top-down dikendalikan elit, bottom-up oleh masyarakat</t>
  </si>
  <si>
    <t>Top-down bersifat fleksibel, bottom-up kaku</t>
  </si>
  <si>
    <t>Top-down fokus teknis, bottom-up fokus sosial</t>
  </si>
  <si>
    <t>Top-down reaktif, bottom-up preventif</t>
  </si>
  <si>
    <t>Pendekatan top-down dikendalikan oleh elit atau pihak otoritas, sedangkan pendekatan bottom-up dimulai dan dikendalikan oleh masyarakat itu sendiri.</t>
  </si>
  <si>
    <t>Apa tahapan pertama dalam perencanaan program sosial?</t>
  </si>
  <si>
    <t>Pelaksanaan program</t>
  </si>
  <si>
    <t>Identifikasi masalah</t>
  </si>
  <si>
    <t>Monitoring dan evaluasi</t>
  </si>
  <si>
    <t>Penyusunan anggaran</t>
  </si>
  <si>
    <t>Sosialisasi program</t>
  </si>
  <si>
    <t>Tahapan pertama dalam perencanaan program sosial adalah identifikasi masalah untuk mengetahui isu-isu yang perlu ditangani dan merancang program yang tepat.</t>
  </si>
  <si>
    <t>Mengapa penting melakukan analisis situasi dalam perencanaan program sosial?</t>
  </si>
  <si>
    <t>Untuk menentukan anggaran</t>
  </si>
  <si>
    <t>Untuk mengevaluasi dampak program</t>
  </si>
  <si>
    <t>Untuk mengidentifikasi kebutuhan</t>
  </si>
  <si>
    <t>Untuk mengatur jadwal pelaksanaan</t>
  </si>
  <si>
    <t>Untuk memastikan program tepat sasaran</t>
  </si>
  <si>
    <t>Analisis situasi penting untuk mengidentifikasi kebutuhan masyarakat dan isu yang akan dihadapi, sehingga program sosial dapat dirancang secara tepat dan efisien.</t>
  </si>
  <si>
    <t>Metode pelaksanaan program sosial yang melibatkan masyarakat dalam semua tahap proses disebut?</t>
  </si>
  <si>
    <t>Metode evaluatif</t>
  </si>
  <si>
    <t>Metode kolaboratif</t>
  </si>
  <si>
    <t>Metode partisipatif</t>
  </si>
  <si>
    <t>Metode top-down</t>
  </si>
  <si>
    <t>Metode teknokratis</t>
  </si>
  <si>
    <t>Metode partisipatif melibatkan masyarakat dalam perencanaan, pelaksanaan, dan evaluasi program sosial, sehingga meningkatkan efektivitas dan keberlanjutan program.</t>
  </si>
  <si>
    <t>Apa kelebihan dari metode partisipatif dalam pelaksanaan program sosial?</t>
  </si>
  <si>
    <t>Meningkatkan kontrol pihak otoritas</t>
  </si>
  <si>
    <t>Mengurangi beban penyuluh</t>
  </si>
  <si>
    <t>Meningkatkan kesadaran dan tanggung jawab masyarakat</t>
  </si>
  <si>
    <t>Mempercepat proses pelaksanaan</t>
  </si>
  <si>
    <t>Meminimalkan penggunaan sumber daya</t>
  </si>
  <si>
    <t>Metode partisipatif membantu meningkatkan kesadaran, tanggung jawab, dan partisipasi masyarakat dalam program sosial, sehingga hasil yang dicapai lebih berkelanjutan.</t>
  </si>
  <si>
    <t>Apa tujuan utama dari monitoring dalam program sosial?</t>
  </si>
  <si>
    <t>Mengidentifikasi kesalahan</t>
  </si>
  <si>
    <t>Menilai pencapaian target</t>
  </si>
  <si>
    <t>Melakukan perubahan besar</t>
  </si>
  <si>
    <t>Meningkatkan anggaran</t>
  </si>
  <si>
    <t>Mengukur kemajuan dan mengidentifikasi masalah</t>
  </si>
  <si>
    <t>Monitoring bertujuan untuk mengukur kemajuan program secara berkala, mengidentifikasi masalah yang mungkin timbul, dan melakukan penyesuaian kecil jika diperlukan untuk mencapai tujuan program.</t>
  </si>
  <si>
    <t>Kapan evaluasi program sosial sebaiknya dilakukan?</t>
  </si>
  <si>
    <t>Sebelum program dimulai</t>
  </si>
  <si>
    <t>Selama pelaksanaan program</t>
  </si>
  <si>
    <t>Hanya jika ada masalah</t>
  </si>
  <si>
    <t>Setelah program selesai</t>
  </si>
  <si>
    <t>Sebelum, selama, dan setelah pelaksanaan program</t>
  </si>
  <si>
    <t>Evaluasi program sosial sebaiknya dilakukan sebelum, selama, dan setelah pelaksanaan program untuk memastikan program berjalan efektif dan mencapai tujuan yang diinginkan.</t>
  </si>
  <si>
    <t>Apa yang dimaksud dengan prinsip kesetaraan dalam penyuluhan sosial?</t>
  </si>
  <si>
    <t>Semua pihak diperlakukan sama</t>
  </si>
  <si>
    <t>Penyuluh memiliki otoritas lebih tinggi</t>
  </si>
  <si>
    <t>Masyarakat harus mengikuti arahan</t>
  </si>
  <si>
    <t>Penyuluh dan masyarakat memiliki peran setara</t>
  </si>
  <si>
    <t>Peran masyarakat lebih dominan</t>
  </si>
  <si>
    <t>Prinsip kesetaraan dalam penyuluhan sosial berarti bahwa penyuluh dan masyarakat diperlakukan secara setara, dengan hak dan kewajiban yang seimbang dalam proses penyuluhan.</t>
  </si>
  <si>
    <t>Teknik konseling yang berfokus pada perubahan cara berpikir klien disebut?</t>
  </si>
  <si>
    <t>Konseling behavioral</t>
  </si>
  <si>
    <t>Konseling kognitif</t>
  </si>
  <si>
    <t>Konseling emosional</t>
  </si>
  <si>
    <t>Konseling kognitif fokus pada membantu klien mengubah cara berpikir yang tidak efektif atau negatif, sehingga dapat memperbaiki perasaan dan perilakunya.</t>
  </si>
  <si>
    <t>Apa keuntungan utama dari pendekatan bottom-up dalam penyuluhan sosial?</t>
  </si>
  <si>
    <t>Mempercepat pelaksanaan</t>
  </si>
  <si>
    <t>Menjaga kontrol otoritas</t>
  </si>
  <si>
    <t>Menghemat biaya</t>
  </si>
  <si>
    <t>Memperkuat komitmen masyarakat</t>
  </si>
  <si>
    <t>Meningkatkan efektivitas program</t>
  </si>
  <si>
    <t>Pendekatan bottom-up cenderung meningkatkan efektivitas program karena program dirancang dan dilaksanakan sesuai dengan kebutuhan dan kondisi masyarakat setempat.</t>
  </si>
  <si>
    <t>Dalam penyusunan program sosial, apa yang dimaksud dengan analisis SWOT?</t>
  </si>
  <si>
    <t>Analisis dampak sosial</t>
  </si>
  <si>
    <t>Analisis kekuatan, kelemahan, peluang, dan ancaman</t>
  </si>
  <si>
    <t>Analisis anggaran program</t>
  </si>
  <si>
    <t>Analisis partisipasi masyarakat</t>
  </si>
  <si>
    <t>Analisis risiko pelaksanaan</t>
  </si>
  <si>
    <t>Analisis SWOT adalah teknik yang digunakan untuk mengidentifikasi kekuatan, kelemahan, peluang, dan ancaman dalam perencanaan program, yang membantu dalam pengambilan keputusan yang lebih baik.</t>
  </si>
  <si>
    <t>Metode pelaksanaan program sosial yang menekankan pada pembelajaran bersama disebut?</t>
  </si>
  <si>
    <t>Metode fasilitatif</t>
  </si>
  <si>
    <t>Metode edukatif</t>
  </si>
  <si>
    <t>Metode preventif</t>
  </si>
  <si>
    <t>Metode kolaboratif dalam program sosial mengacu pada proses dimana penyuluh dan masyarakat belajar bersama untuk mencapai tujuan program secara efektif.</t>
  </si>
  <si>
    <t>Apa manfaat utama dari evaluasi formatif dalam program sosial?</t>
  </si>
  <si>
    <t>Menyediakan laporan akhir</t>
  </si>
  <si>
    <t>Meningkatkan keterlibatan stakeholder</t>
  </si>
  <si>
    <t>Mengidentifikasi kebutuhan pelatihan</t>
  </si>
  <si>
    <t>Meningkatkan kinerja selama pelaksanaan</t>
  </si>
  <si>
    <t>Menilai dampak jangka panjang</t>
  </si>
  <si>
    <t>Evaluasi formatif dilakukan selama pelaksanaan program untuk mengidentifikasi area yang memerlukan perbaikan segera, sehingga dapat meningkatkan kinerja program secara real-time.</t>
  </si>
  <si>
    <t>Apa perbedaan utama antara evaluasi formatif dan sumatif dalam program sosial?</t>
  </si>
  <si>
    <t>Formatif dilakukan sebelum program</t>
  </si>
  <si>
    <t>Sumatif menilai proses, formatif menilai hasil</t>
  </si>
  <si>
    <t>Formatif menilai proses, sumatif menilai hasil</t>
  </si>
  <si>
    <t>Sumatif dilakukan selama program</t>
  </si>
  <si>
    <t>Formatif dilakukan setelah program selesai</t>
  </si>
  <si>
    <t>Evaluasi formatif berfokus pada proses pelaksanaan untuk meningkatkan kinerja, sedangkan evaluasi sumatif berfokus pada hasil akhir program untuk menilai efektivitasnya.</t>
  </si>
  <si>
    <t>Apa yang menjadi fokus utama dalam penyuluhan sosial?</t>
  </si>
  <si>
    <t>Memberikan solusi instan</t>
  </si>
  <si>
    <t>Mengubah perilaku masyarakat</t>
  </si>
  <si>
    <t>Menyampaikan informasi</t>
  </si>
  <si>
    <t>Membangun hubungan dengan masyarakat</t>
  </si>
  <si>
    <t>Meningkatkan partisipasi dan kesadaran masyarakat</t>
  </si>
  <si>
    <t>Fokus utama dalam penyuluhan sosial adalah meningkatkan partisipasi dan kesadaran masyarakat terhadap isu-isu yang dihadapi, serta mengarahkan mereka menuju perubahan perilaku yang positif.</t>
  </si>
  <si>
    <t>Kompetensi Manajerial</t>
  </si>
  <si>
    <t>Teori kepemimpinan yang berfokus pada sifat-sifat pribadi pemimpin disebut?</t>
  </si>
  <si>
    <t>Kepemimpinan Situasional</t>
  </si>
  <si>
    <t>Kepemimpinan Transformasional</t>
  </si>
  <si>
    <t>Kepemimpinan Transaksional</t>
  </si>
  <si>
    <t>Teori Sifat</t>
  </si>
  <si>
    <t>Kepemimpinan Partisipatif</t>
  </si>
  <si>
    <t>Teori Sifat menekankan pada sifat-sifat yang dimiliki oleh pemimpin.</t>
  </si>
  <si>
    <t>Gaya kepemimpinan yang mendorong bawahan untuk berpartisipasi dalam pengambilan keputusan adalah?</t>
  </si>
  <si>
    <t>Autokratis</t>
  </si>
  <si>
    <t>Delegatif</t>
  </si>
  <si>
    <t>Transformasional</t>
  </si>
  <si>
    <t>Demokratis</t>
  </si>
  <si>
    <t>Partisipatif</t>
  </si>
  <si>
    <t>Kepemimpinan partisipatif melibatkan anggota tim dalam pengambilan keputusan.</t>
  </si>
  <si>
    <t>Dalam manajemen tim, apa yang paling penting untuk menjaga kekompakan tim?</t>
  </si>
  <si>
    <t>Penghargaan individu</t>
  </si>
  <si>
    <t>Komunikasi terbuka</t>
  </si>
  <si>
    <t>Kepemimpinan otoritatif</t>
  </si>
  <si>
    <t>Pemecahan masalah oleh pemimpin</t>
  </si>
  <si>
    <t>Pembagian tugas yang jelas</t>
  </si>
  <si>
    <t>Komunikasi terbuka penting untuk menjaga hubungan yang baik dalam tim.</t>
  </si>
  <si>
    <t>Apa yang dimaksud dengan coaching dalam pengembangan SDM?</t>
  </si>
  <si>
    <t>Memberikan motivasi</t>
  </si>
  <si>
    <t>Menyediakan pelatihan</t>
  </si>
  <si>
    <t>Memimpin dengan memberi contoh</t>
  </si>
  <si>
    <t>Membimbing karyawan dalam mencapai tujuan pribadi dan organisasi</t>
  </si>
  <si>
    <t>Mengawasi kinerja karyawan</t>
  </si>
  <si>
    <t>Coaching bertujuan untuk membimbing karyawan agar mencapai tujuan yang diinginkan.</t>
  </si>
  <si>
    <t>Langkah pertama dalam proses pemecahan masalah adalah?</t>
  </si>
  <si>
    <t>Mengidentifikasi alternatif solusi</t>
  </si>
  <si>
    <t>Menganalisis situasi</t>
  </si>
  <si>
    <t>Melakukan evaluasi</t>
  </si>
  <si>
    <t>Mengidentifikasi masalah</t>
  </si>
  <si>
    <t>Melakukan pengambilan keputusan</t>
  </si>
  <si>
    <t>Mengidentifikasi masalah adalah langkah pertama dalam proses pemecahan masalah.</t>
  </si>
  <si>
    <t>Metode pengambilan keputusan yang melibatkan berbagai sudut pandang disebut?</t>
  </si>
  <si>
    <t>Kepemimpinan otokratis</t>
  </si>
  <si>
    <t>Pengambilan keputusan sentralisasi</t>
  </si>
  <si>
    <t>Analisis SWOT</t>
  </si>
  <si>
    <t>Pengambilan keputusan partisipatif</t>
  </si>
  <si>
    <t>Pengambilan keputusan konsensual</t>
  </si>
  <si>
    <t>Pengambilan keputusan konsensual melibatkan berbagai sudut pandang untuk mencapai keputusan bersama.</t>
  </si>
  <si>
    <t>Pemimpin yang memotivasi dan menginspirasi bawahannya untuk mencapai tujuan jangka panjang menggunakan gaya kepemimpinan?</t>
  </si>
  <si>
    <t>Otoritatif</t>
  </si>
  <si>
    <t>Laissez-faire</t>
  </si>
  <si>
    <t>Transaksional</t>
  </si>
  <si>
    <t>Gaya kepemimpinan transformasional berfokus pada motivasi dan inspirasi.</t>
  </si>
  <si>
    <t>Apa yang harus dilakukan pemimpin untuk mengatasi konflik dalam tim?</t>
  </si>
  <si>
    <t>Mengabaikan konflik</t>
  </si>
  <si>
    <t>Menyelesaikan konflik secara individu</t>
  </si>
  <si>
    <t>Mendelegasikan penyelesaian konflik</t>
  </si>
  <si>
    <t>Menggunakan mediasi untuk menyelesaikan konflik</t>
  </si>
  <si>
    <t>Memindahkan anggota tim yang berkonflik</t>
  </si>
  <si>
    <t>Mediasi adalah cara yang efektif untuk menyelesaikan konflik dalam tim.</t>
  </si>
  <si>
    <t>Metode pengembangan SDM yang melibatkan rotasi pekerjaan bertujuan untuk?</t>
  </si>
  <si>
    <t>Mengurangi kejenuhan</t>
  </si>
  <si>
    <t>Menyebarkan keterampilan</t>
  </si>
  <si>
    <t>Meningkatkan produktivitas</t>
  </si>
  <si>
    <t>Mengurangi beban kerja</t>
  </si>
  <si>
    <t>Menilai kinerja karyawan</t>
  </si>
  <si>
    <t>Rotasi pekerjaan bertujuan untuk menyebarkan keterampilan di antara karyawan.</t>
  </si>
  <si>
    <t>Teknik brainstorming dalam pemecahan masalah bertujuan untuk?</t>
  </si>
  <si>
    <t>Mengevaluasi solusi</t>
  </si>
  <si>
    <t>Mencari konsensus</t>
  </si>
  <si>
    <t>Menghasilkan ide sebanyak mungkin</t>
  </si>
  <si>
    <t>Mengambil keputusan cepat</t>
  </si>
  <si>
    <t>Brainstorming bertujuan untuk menghasilkan berbagai ide yang dapat dipertimbangkan dalam pemecahan masalah.</t>
  </si>
  <si>
    <t>Kompetensi Sosial Kultural</t>
  </si>
  <si>
    <t>Apa yang dimaksud dengan empati dalam konteks penyuluhan sosial?</t>
  </si>
  <si>
    <t>Kemampuan memahami masalah orang lain</t>
  </si>
  <si>
    <t>Kemampuan merasakan apa yang dirasakan orang lain</t>
  </si>
  <si>
    <t>Kemampuan memberikan solusi cepat</t>
  </si>
  <si>
    <t>Kemampuan menghindari konflik</t>
  </si>
  <si>
    <t>Kemampuan mengontrol perasaan sendiri</t>
  </si>
  <si>
    <t>Empati dalam penyuluhan sosial berarti kemampuan merasakan apa yang dirasakan orang lain, yang penting dalam membangun hubungan yang baik.</t>
  </si>
  <si>
    <t>Bagaimana cara mengidentifikasi masalah sosial yang muncul di masyarakat?</t>
  </si>
  <si>
    <t>Melalui pengamatan langsung dan dialog dengan warga</t>
  </si>
  <si>
    <t>Hanya mengandalkan laporan media</t>
  </si>
  <si>
    <t>Mengabaikan pendapat warga</t>
  </si>
  <si>
    <t>Menunggu laporan resmi dari pemerintah</t>
  </si>
  <si>
    <t>Menyalin masalah dari daerah lain tanpa verifikasi</t>
  </si>
  <si>
    <t>Identifikasi masalah sosial yang efektif dilakukan melalui pengamatan langsung dan dialog dengan warga untuk mendapatkan informasi yang akurat.</t>
  </si>
  <si>
    <t>Mengapa kepekaan terhadap isu-isu sosial terkini penting dalam penyuluhan sosial?</t>
  </si>
  <si>
    <t>Untuk menghindari pertanyaan kritis dari masyarakat</t>
  </si>
  <si>
    <t>Untuk menyesuaikan program dengan kebutuhan masyarakat</t>
  </si>
  <si>
    <t>Untuk mengikuti tren politik</t>
  </si>
  <si>
    <t>Untuk mempercepat proses administrasi</t>
  </si>
  <si>
    <t>Untuk memuaskan atasan</t>
  </si>
  <si>
    <t>Kepekaan terhadap isu-isu sosial terkini membantu penyuluh menyesuaikan program dengan kebutuhan dan kondisi yang berubah dalam masyarakat.</t>
  </si>
  <si>
    <t>Apa teknik kerjasama yang efektif dalam tim penyuluhan sosial?</t>
  </si>
  <si>
    <t>Pemimpin yang mendominasi diskusi</t>
  </si>
  <si>
    <t>Mengutamakan komunikasi terbuka dan saling menghargai</t>
  </si>
  <si>
    <t>Menetapkan aturan ketat tanpa diskusi</t>
  </si>
  <si>
    <t>Membatasi akses informasi kepada anggota tim</t>
  </si>
  <si>
    <t>Menghindari umpan balik dari anggota tim</t>
  </si>
  <si>
    <t>Kerjasama yang efektif dalam tim melibatkan komunikasi terbuka dan saling menghargai, memungkinkan semua anggota tim berkontribusi.</t>
  </si>
  <si>
    <t>Bagaimana kolaborasi dengan instansi terkait dapat meningkatkan efektivitas penyuluhan sosial?</t>
  </si>
  <si>
    <t>Dengan mengandalkan instansi terkait untuk seluruh pekerjaan</t>
  </si>
  <si>
    <t>Dengan berbagi sumber daya dan informasi</t>
  </si>
  <si>
    <t>Dengan menghindari keterlibatan instansi lain</t>
  </si>
  <si>
    <t>Dengan menunda keputusan hingga mendapat persetujuan dari semua pihak</t>
  </si>
  <si>
    <t>Dengan menetapkan prioritas yang berbeda dari instansi lain</t>
  </si>
  <si>
    <t>Kolaborasi yang efektif dengan instansi terkait melalui berbagi sumber daya dan informasi dapat meningkatkan efektivitas program penyuluhan.</t>
  </si>
  <si>
    <t>Apa yang dimaksud dengan pengembangan jaringan kerja (networking) dalam konteks penyuluhan sosial?</t>
  </si>
  <si>
    <t>Hanya menghubungi pihak lain saat membutuhkan bantuan</t>
  </si>
  <si>
    <t>Menjalin hubungan berkelanjutan dengan berbagai pihak</t>
  </si>
  <si>
    <t>Menghindari kerjasama dengan pihak lain</t>
  </si>
  <si>
    <t>Menjalin hubungan hanya dengan pihak yang sejalan</t>
  </si>
  <si>
    <t>Fokus pada kompetisi dengan pihak lain</t>
  </si>
  <si>
    <t>Pengembangan jaringan kerja melibatkan menjalin hubungan berkelanjutan dengan berbagai pihak untuk mendukung dan memperkuat program penyuluhan.</t>
  </si>
  <si>
    <t>Bagaimana penyuluh sosial dapat meningkatkan kepekaan terhadap isu-isu sosial terkini?</t>
  </si>
  <si>
    <t>Hanya fokus pada masalah internal organisasi</t>
  </si>
  <si>
    <t>Melibatkan diri dalam kegiatan masyarakat</t>
  </si>
  <si>
    <t>Menghindari interaksi langsung dengan masyarakat</t>
  </si>
  <si>
    <t>Mengandalkan laporan media tanpa verifikasi</t>
  </si>
  <si>
    <t>Menjauhi diskusi publik</t>
  </si>
  <si>
    <t>Penyuluh sosial dapat meningkatkan kepekaan terhadap isu-isu sosial dengan melibatkan diri dalam kegiatan masyarakat dan mendengar aspirasi warga.</t>
  </si>
  <si>
    <t>Mengapa penting untuk memiliki empati dalam penyuluhan sosial?</t>
  </si>
  <si>
    <t>Untuk menunjukkan kelemahan pada masyarakat</t>
  </si>
  <si>
    <t>Untuk membangun kepercayaan dan hubungan yang baik</t>
  </si>
  <si>
    <t>Untuk menyelesaikan masalah secara cepat</t>
  </si>
  <si>
    <t>Untuk menghindari konflik antar anggota masyarakat</t>
  </si>
  <si>
    <t>Untuk mengendalikan emosi warga</t>
  </si>
  <si>
    <t>Empati penting dalam penyuluhan sosial untuk membangun kepercayaan dan hubungan yang baik antara penyuluh dan masyarakat.</t>
  </si>
  <si>
    <t>Apa manfaat utama dari pengembangan jaringan kerja (networking) dalam penyuluhan sosial?</t>
  </si>
  <si>
    <t>Memudahkan kontrol terhadap kegiatan lain</t>
  </si>
  <si>
    <t>Memperluas akses ke sumber daya dan informasi</t>
  </si>
  <si>
    <t>Mengurangi kebutuhan komunikasi antar instansi</t>
  </si>
  <si>
    <t>Menghilangkan persaingan dengan organisasi lain</t>
  </si>
  <si>
    <t>Mengabaikan perbedaan pendapat</t>
  </si>
  <si>
    <t>Pengembangan jaringan kerja memungkinkan akses yang lebih luas ke sumber daya dan informasi yang dibutuhkan untuk keberhasilan program sosial.</t>
  </si>
  <si>
    <t>Bagaimana teknik kerjasama yang baik dalam tim dapat membantu keberhasilan penyuluhan sosial?</t>
  </si>
  <si>
    <t>Dengan mengutamakan kepentingan individu</t>
  </si>
  <si>
    <t>Dengan saling berbagi tugas dan tanggung jawab</t>
  </si>
  <si>
    <t>Dengan menetapkan peran tanpa diskusi</t>
  </si>
  <si>
    <t>Dengan mengabaikan masukan dari anggota tim</t>
  </si>
  <si>
    <t>Dengan menghindari pertemuan rutin</t>
  </si>
  <si>
    <t>Teknik kerjasama yang baik melibatkan saling berbagi tugas dan tanggung jawab untuk mencapai tujuan bersama dalam penyuluhan sosial.</t>
  </si>
  <si>
    <t>Apa yang dimaksud dengan kepekaan sosial dalam penyuluhan sosial?</t>
  </si>
  <si>
    <t>Kemampuan untuk mengontrol emosi orang lain</t>
  </si>
  <si>
    <t>Kesadaran dan pemahaman akan kebutuhan dan masalah masyarakat</t>
  </si>
  <si>
    <t>Mengabaikan aspirasi masyarakat</t>
  </si>
  <si>
    <t>Fokus pada hasil tanpa memperhatikan proses</t>
  </si>
  <si>
    <t>Mengutamakan kepentingan organisasi</t>
  </si>
  <si>
    <t>Kepekaan sosial adalah kesadaran dan pemahaman akan kebutuhan dan masalah masyarakat, penting untuk merancang program yang relevan dan efektif.</t>
  </si>
  <si>
    <t>Bagaimana cara penyuluh sosial membangun kolaborasi dengan instansi terkait?</t>
  </si>
  <si>
    <t>Dengan menghindari komunikasi terbuka</t>
  </si>
  <si>
    <t>Dengan melakukan koordinasi dan pertemuan rutin</t>
  </si>
  <si>
    <t>Dengan menetapkan kebijakan unilateral</t>
  </si>
  <si>
    <t>Dengan menunggu inisiatif dari instansi lain</t>
  </si>
  <si>
    <t>Dengan memprioritaskan kepentingan internal</t>
  </si>
  <si>
    <t>Kolaborasi yang efektif dibangun melalui koordinasi dan pertemuan rutin untuk memastikan sinergi dan harmonisasi program penyuluhan.</t>
  </si>
  <si>
    <t>Apa yang harus dilakukan untuk meningkatkan kolaborasi dalam tim penyuluhan sosial?</t>
  </si>
  <si>
    <t>Memusatkan keputusan pada pemimpin tim</t>
  </si>
  <si>
    <t>Menghargai setiap kontribusi dan masukan anggota tim</t>
  </si>
  <si>
    <t>Menghindari diskusi yang intens</t>
  </si>
  <si>
    <t>Menjauhi pertemuan yang melibatkan semua anggota tim</t>
  </si>
  <si>
    <t>Meningkatkan kolaborasi dalam tim dapat dilakukan dengan menghargai setiap kontribusi dan masukan anggota tim, menciptakan lingkungan kerja yang kondusif.</t>
  </si>
  <si>
    <t>Bagaimana penyuluh sosial dapat mengidentifikasi masalah sosial secara efektif?</t>
  </si>
  <si>
    <t>Hanya mendengarkan laporan dari pimpinan</t>
  </si>
  <si>
    <t>Melalui interaksi langsung dan observasi lapangan</t>
  </si>
  <si>
    <t>Mengandalkan informasi dari sumber kedua</t>
  </si>
  <si>
    <t>Fokus pada data statistik tanpa memerhatikan situasi lapangan</t>
  </si>
  <si>
    <t>Mengikuti tren global tanpa penyesuaian lokal</t>
  </si>
  <si>
    <t>Identifikasi masalah sosial yang efektif dilakukan melalui interaksi langsung dan observasi lapangan, memberikan gambaran menyeluruh situasi di masyarakat.</t>
  </si>
  <si>
    <t>Apa pentingnya pengembangan jaringan kerja dalam penyuluhan sosial?</t>
  </si>
  <si>
    <t>Untuk mengendalikan pihak lain secara efektif</t>
  </si>
  <si>
    <t>Untuk meningkatkan efektivitas dan efisiensi program</t>
  </si>
  <si>
    <t>Untuk memperlihatkan kekuatan organisasi</t>
  </si>
  <si>
    <t>Untuk mengurangi kebutuhan untuk kerjasama</t>
  </si>
  <si>
    <t>Untuk fokus pada kompetisi dengan organisasi lain</t>
  </si>
  <si>
    <t>Pengembangan jaringan kerja penting untuk meningkatkan efektivitas dan efisiensi program penyuluhan, memastikan dukungan dari berbagai pihak.</t>
  </si>
  <si>
    <t>Mengapa penting untuk memahami budaya lokal dalam penyuluhan sosial?</t>
  </si>
  <si>
    <t>Untuk menghindari kritik dari masyarakat</t>
  </si>
  <si>
    <t>Untuk menyesuaikan pendekatan dan strategi penyuluhan</t>
  </si>
  <si>
    <t>Untuk mengikuti pandangan dominan</t>
  </si>
  <si>
    <t>Untuk memprioritaskan kepentingan penyuluh</t>
  </si>
  <si>
    <t>Untuk menghindari konflik dengan pihak luar</t>
  </si>
  <si>
    <t>Memahami budaya lokal penting untuk menyesuaikan pendekatan dan strategi penyuluhan, meningkatkan penerimaan dan efektivitas program di masyarakat.</t>
  </si>
  <si>
    <t>Bagaimana penyuluh sosial dapat memperluas jaringan kerja (networking)?</t>
  </si>
  <si>
    <t>Dengan hanya bergantung pada koneksi lama</t>
  </si>
  <si>
    <t>Dengan aktif berpartisipasi dalam forum dan pertemuan</t>
  </si>
  <si>
    <t>Menghindari kolaborasi dengan pihak baru</t>
  </si>
  <si>
    <t>Menetapkan prioritas berdasarkan hubungan personal</t>
  </si>
  <si>
    <t>Mengabaikan perbedaan pendapat dalam jaringan kerja</t>
  </si>
  <si>
    <t>Penyuluh sosial dapat memperluas jaringan kerja dengan aktif berpartisipasi dalam forum dan pertemuan, menciptakan peluang baru untuk kerjasama.</t>
  </si>
  <si>
    <t>Bagaimana penyuluh sosial dapat meningkatkan empati terhadap masyarakat yang dilayani?</t>
  </si>
  <si>
    <t>Dengan menjaga jarak dari masyarakat</t>
  </si>
  <si>
    <t>Dengan mengadakan sesi konsultasi dan diskusi rutin</t>
  </si>
  <si>
    <t>Hanya mengikuti arahan pimpinan</t>
  </si>
  <si>
    <t>Dengan mengandalkan data statistik</t>
  </si>
  <si>
    <t>Dengan menghindari konflik di lapangan</t>
  </si>
  <si>
    <t>Meningkatkan empati dapat dilakukan dengan mengadakan sesi konsultasi dan diskusi rutin untuk memahami kebutuhan dan kekhawatiran masyarakat.</t>
  </si>
  <si>
    <t>Apa peran penting kolaborasi dengan instansi terkait dalam keberhasilan penyuluhan sosial?</t>
  </si>
  <si>
    <t>Membatasi informasi antara instansi</t>
  </si>
  <si>
    <t>Memungkinkan pertukaran sumber daya dan pengetahuan</t>
  </si>
  <si>
    <t>Menetapkan batasan ketat dalam interaksi</t>
  </si>
  <si>
    <t>Memprioritaskan kepentingan instansi tertentu</t>
  </si>
  <si>
    <t>Menghindari kolaborasi dengan organisasi yang tidak sejalan</t>
  </si>
  <si>
    <t>Kolaborasi memungkinkan pertukaran sumber daya dan pengetahuan, meningkatkan efektivitas dan cakupan penyuluhan sosial secara keseluruhan.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</si>
</sst>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"/>
  </numFmts>
  <fonts count="4" x14ac:knownFonts="1">
    <font>
      <sz val="10"/>
      <color rgb="FF000000"/>
      <name val="Arial"/>
      <scheme val="minor"/>
    </font>
    <font>
      <sz val="11"/>
      <color rgb="FF000000"/>
      <name val="Calibri"/>
    </font>
    <font>
      <sz val="10"/>
      <color theme="1"/>
      <name val="Arial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164" fontId="3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abSelected="1" workbookViewId="0"/>
  </sheetViews>
  <sheetFormatPr defaultColWidth="12.6328125" defaultRowHeight="15.75" customHeight="1" x14ac:dyDescent="0.25"/>
  <cols>
    <col min="1" max="1" width="15.453125" customWidth="1"/>
    <col min="2" max="2" width="35.08984375" customWidth="1"/>
    <col min="3" max="3" width="12.36328125" customWidth="1"/>
    <col min="4" max="4" width="16" customWidth="1"/>
    <col min="5" max="5" width="12.90625" customWidth="1"/>
    <col min="6" max="6" width="16.08984375" customWidth="1"/>
    <col min="8" max="8" width="16.08984375" customWidth="1"/>
    <col min="10" max="10" width="16.26953125" customWidth="1"/>
    <col min="11" max="11" width="23.90625" customWidth="1"/>
    <col min="12" max="12" width="11.26953125" customWidth="1"/>
  </cols>
  <sheetData>
    <row r="1" spans="1:26" ht="15.75" customHeight="1" x14ac:dyDescent="0.3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.75" customHeight="1" x14ac:dyDescent="0.25">
      <c r="A2" s="4" t="s">
        <v>14</v>
      </c>
      <c r="B2" s="4" t="s">
        <v>15</v>
      </c>
      <c r="C2" s="4" t="s">
        <v>16</v>
      </c>
      <c r="D2" s="4">
        <f t="shared" ref="D2:D21" si="0">IF(N2="A", 1, 0)</f>
        <v>0</v>
      </c>
      <c r="E2" s="5" t="s">
        <v>17</v>
      </c>
      <c r="F2" s="5">
        <f t="shared" ref="F2:F21" si="1">IF(N2="b", 1, 0)</f>
        <v>0</v>
      </c>
      <c r="G2" s="5" t="s">
        <v>18</v>
      </c>
      <c r="H2" s="4">
        <f t="shared" ref="H2:H21" si="2">IF(N2="c", 1, 0)</f>
        <v>0</v>
      </c>
      <c r="I2" s="5" t="s">
        <v>19</v>
      </c>
      <c r="J2" s="4">
        <f t="shared" ref="J2:J21" si="3">IF(N2="d", 1, 0)</f>
        <v>1</v>
      </c>
      <c r="K2" s="5" t="s">
        <v>20</v>
      </c>
      <c r="L2" s="4">
        <f t="shared" ref="L2:L21" si="4">IF(N2="E", 1, 0)</f>
        <v>0</v>
      </c>
      <c r="M2" s="5" t="s">
        <v>21</v>
      </c>
      <c r="N2" s="5" t="s">
        <v>8</v>
      </c>
    </row>
    <row r="3" spans="1:26" ht="15.75" customHeight="1" x14ac:dyDescent="0.25">
      <c r="A3" s="4" t="s">
        <v>14</v>
      </c>
      <c r="B3" s="4" t="s">
        <v>22</v>
      </c>
      <c r="C3" s="4" t="s">
        <v>23</v>
      </c>
      <c r="D3" s="4">
        <f t="shared" si="0"/>
        <v>0</v>
      </c>
      <c r="E3" s="5" t="s">
        <v>24</v>
      </c>
      <c r="F3" s="5">
        <f t="shared" si="1"/>
        <v>1</v>
      </c>
      <c r="G3" s="5" t="s">
        <v>25</v>
      </c>
      <c r="H3" s="4">
        <f t="shared" si="2"/>
        <v>0</v>
      </c>
      <c r="I3" s="5" t="s">
        <v>26</v>
      </c>
      <c r="J3" s="4">
        <f t="shared" si="3"/>
        <v>0</v>
      </c>
      <c r="K3" s="5" t="s">
        <v>27</v>
      </c>
      <c r="L3" s="4">
        <f t="shared" si="4"/>
        <v>0</v>
      </c>
      <c r="M3" s="5" t="s">
        <v>28</v>
      </c>
      <c r="N3" s="5" t="s">
        <v>4</v>
      </c>
      <c r="O3" s="6"/>
    </row>
    <row r="4" spans="1:26" ht="15.75" customHeight="1" x14ac:dyDescent="0.25">
      <c r="A4" s="4" t="s">
        <v>14</v>
      </c>
      <c r="B4" s="4" t="s">
        <v>29</v>
      </c>
      <c r="C4" s="4" t="s">
        <v>30</v>
      </c>
      <c r="D4" s="4">
        <f t="shared" si="0"/>
        <v>0</v>
      </c>
      <c r="E4" s="5" t="s">
        <v>31</v>
      </c>
      <c r="F4" s="5">
        <f t="shared" si="1"/>
        <v>0</v>
      </c>
      <c r="G4" s="5" t="s">
        <v>32</v>
      </c>
      <c r="H4" s="4">
        <f t="shared" si="2"/>
        <v>0</v>
      </c>
      <c r="I4" s="5" t="s">
        <v>33</v>
      </c>
      <c r="J4" s="4">
        <f t="shared" si="3"/>
        <v>1</v>
      </c>
      <c r="K4" s="5" t="s">
        <v>34</v>
      </c>
      <c r="L4" s="4">
        <f t="shared" si="4"/>
        <v>0</v>
      </c>
      <c r="M4" s="5" t="s">
        <v>35</v>
      </c>
      <c r="N4" s="5" t="s">
        <v>8</v>
      </c>
    </row>
    <row r="5" spans="1:26" ht="15.75" customHeight="1" x14ac:dyDescent="0.25">
      <c r="A5" s="4" t="s">
        <v>14</v>
      </c>
      <c r="B5" s="4" t="s">
        <v>36</v>
      </c>
      <c r="C5" s="4" t="s">
        <v>37</v>
      </c>
      <c r="D5" s="4">
        <f t="shared" si="0"/>
        <v>0</v>
      </c>
      <c r="E5" s="5" t="s">
        <v>38</v>
      </c>
      <c r="F5" s="5">
        <f t="shared" si="1"/>
        <v>1</v>
      </c>
      <c r="G5" s="5" t="s">
        <v>39</v>
      </c>
      <c r="H5" s="4">
        <f t="shared" si="2"/>
        <v>0</v>
      </c>
      <c r="I5" s="5" t="s">
        <v>40</v>
      </c>
      <c r="J5" s="4">
        <f t="shared" si="3"/>
        <v>0</v>
      </c>
      <c r="K5" s="5" t="s">
        <v>41</v>
      </c>
      <c r="L5" s="4">
        <f t="shared" si="4"/>
        <v>0</v>
      </c>
      <c r="M5" s="5" t="s">
        <v>42</v>
      </c>
      <c r="N5" s="5" t="s">
        <v>4</v>
      </c>
    </row>
    <row r="6" spans="1:26" ht="15.75" customHeight="1" x14ac:dyDescent="0.25">
      <c r="A6" s="4" t="s">
        <v>14</v>
      </c>
      <c r="B6" s="4" t="s">
        <v>43</v>
      </c>
      <c r="C6" s="4" t="s">
        <v>44</v>
      </c>
      <c r="D6" s="4">
        <f t="shared" si="0"/>
        <v>0</v>
      </c>
      <c r="E6" s="5" t="s">
        <v>45</v>
      </c>
      <c r="F6" s="5">
        <f t="shared" si="1"/>
        <v>0</v>
      </c>
      <c r="G6" s="5" t="s">
        <v>46</v>
      </c>
      <c r="H6" s="4">
        <f t="shared" si="2"/>
        <v>0</v>
      </c>
      <c r="I6" s="5" t="s">
        <v>47</v>
      </c>
      <c r="J6" s="4">
        <f t="shared" si="3"/>
        <v>1</v>
      </c>
      <c r="K6" s="5" t="s">
        <v>48</v>
      </c>
      <c r="L6" s="4">
        <f t="shared" si="4"/>
        <v>0</v>
      </c>
      <c r="M6" s="5" t="s">
        <v>49</v>
      </c>
      <c r="N6" s="5" t="s">
        <v>8</v>
      </c>
    </row>
    <row r="7" spans="1:26" ht="15.75" customHeight="1" x14ac:dyDescent="0.25">
      <c r="A7" s="4" t="s">
        <v>14</v>
      </c>
      <c r="B7" s="4" t="s">
        <v>50</v>
      </c>
      <c r="C7" s="4" t="s">
        <v>51</v>
      </c>
      <c r="D7" s="4">
        <f t="shared" si="0"/>
        <v>0</v>
      </c>
      <c r="E7" s="5" t="s">
        <v>52</v>
      </c>
      <c r="F7" s="5">
        <f t="shared" si="1"/>
        <v>1</v>
      </c>
      <c r="G7" s="5" t="s">
        <v>53</v>
      </c>
      <c r="H7" s="4">
        <f t="shared" si="2"/>
        <v>0</v>
      </c>
      <c r="I7" s="5" t="s">
        <v>54</v>
      </c>
      <c r="J7" s="4">
        <f t="shared" si="3"/>
        <v>0</v>
      </c>
      <c r="K7" s="5" t="s">
        <v>55</v>
      </c>
      <c r="L7" s="4">
        <f t="shared" si="4"/>
        <v>0</v>
      </c>
      <c r="M7" s="5" t="s">
        <v>56</v>
      </c>
      <c r="N7" s="5" t="s">
        <v>4</v>
      </c>
    </row>
    <row r="8" spans="1:26" ht="15.75" customHeight="1" x14ac:dyDescent="0.25">
      <c r="A8" s="4" t="s">
        <v>14</v>
      </c>
      <c r="B8" s="4" t="s">
        <v>57</v>
      </c>
      <c r="C8" s="4" t="s">
        <v>58</v>
      </c>
      <c r="D8" s="4">
        <f t="shared" si="0"/>
        <v>0</v>
      </c>
      <c r="E8" s="5" t="s">
        <v>59</v>
      </c>
      <c r="F8" s="5">
        <f t="shared" si="1"/>
        <v>1</v>
      </c>
      <c r="G8" s="5" t="s">
        <v>60</v>
      </c>
      <c r="H8" s="4">
        <f t="shared" si="2"/>
        <v>0</v>
      </c>
      <c r="I8" s="5" t="s">
        <v>61</v>
      </c>
      <c r="J8" s="4">
        <f t="shared" si="3"/>
        <v>0</v>
      </c>
      <c r="K8" s="5" t="s">
        <v>62</v>
      </c>
      <c r="L8" s="4">
        <f t="shared" si="4"/>
        <v>0</v>
      </c>
      <c r="M8" s="5" t="s">
        <v>63</v>
      </c>
      <c r="N8" s="5" t="s">
        <v>4</v>
      </c>
    </row>
    <row r="9" spans="1:26" ht="15.75" customHeight="1" x14ac:dyDescent="0.25">
      <c r="A9" s="4" t="s">
        <v>14</v>
      </c>
      <c r="B9" s="4" t="s">
        <v>64</v>
      </c>
      <c r="C9" s="4" t="s">
        <v>65</v>
      </c>
      <c r="D9" s="4">
        <f t="shared" si="0"/>
        <v>0</v>
      </c>
      <c r="E9" s="5" t="s">
        <v>66</v>
      </c>
      <c r="F9" s="5">
        <f t="shared" si="1"/>
        <v>0</v>
      </c>
      <c r="G9" s="5" t="s">
        <v>67</v>
      </c>
      <c r="H9" s="4">
        <f t="shared" si="2"/>
        <v>1</v>
      </c>
      <c r="I9" s="5" t="s">
        <v>68</v>
      </c>
      <c r="J9" s="4">
        <f t="shared" si="3"/>
        <v>0</v>
      </c>
      <c r="K9" s="5" t="s">
        <v>69</v>
      </c>
      <c r="L9" s="4">
        <f t="shared" si="4"/>
        <v>0</v>
      </c>
      <c r="M9" s="5" t="s">
        <v>70</v>
      </c>
      <c r="N9" s="5" t="s">
        <v>6</v>
      </c>
    </row>
    <row r="10" spans="1:26" ht="15.75" customHeight="1" x14ac:dyDescent="0.25">
      <c r="A10" s="4" t="s">
        <v>14</v>
      </c>
      <c r="B10" s="4" t="s">
        <v>71</v>
      </c>
      <c r="C10" s="4" t="s">
        <v>72</v>
      </c>
      <c r="D10" s="4">
        <f t="shared" si="0"/>
        <v>0</v>
      </c>
      <c r="E10" s="5" t="s">
        <v>73</v>
      </c>
      <c r="F10" s="5">
        <f t="shared" si="1"/>
        <v>0</v>
      </c>
      <c r="G10" s="5" t="s">
        <v>74</v>
      </c>
      <c r="H10" s="4">
        <f t="shared" si="2"/>
        <v>1</v>
      </c>
      <c r="I10" s="5" t="s">
        <v>75</v>
      </c>
      <c r="J10" s="4">
        <f t="shared" si="3"/>
        <v>0</v>
      </c>
      <c r="K10" s="5" t="s">
        <v>76</v>
      </c>
      <c r="L10" s="4">
        <f t="shared" si="4"/>
        <v>0</v>
      </c>
      <c r="M10" s="5" t="s">
        <v>77</v>
      </c>
      <c r="N10" s="5" t="s">
        <v>6</v>
      </c>
    </row>
    <row r="11" spans="1:26" ht="15.75" customHeight="1" x14ac:dyDescent="0.25">
      <c r="A11" s="4" t="s">
        <v>14</v>
      </c>
      <c r="B11" s="4" t="s">
        <v>78</v>
      </c>
      <c r="C11" s="4" t="s">
        <v>79</v>
      </c>
      <c r="D11" s="4">
        <f t="shared" si="0"/>
        <v>0</v>
      </c>
      <c r="E11" s="5" t="s">
        <v>80</v>
      </c>
      <c r="F11" s="5">
        <f t="shared" si="1"/>
        <v>0</v>
      </c>
      <c r="G11" s="5" t="s">
        <v>81</v>
      </c>
      <c r="H11" s="4">
        <f t="shared" si="2"/>
        <v>1</v>
      </c>
      <c r="I11" s="5" t="s">
        <v>82</v>
      </c>
      <c r="J11" s="4">
        <f t="shared" si="3"/>
        <v>0</v>
      </c>
      <c r="K11" s="5" t="s">
        <v>83</v>
      </c>
      <c r="L11" s="4">
        <f t="shared" si="4"/>
        <v>0</v>
      </c>
      <c r="M11" s="5" t="s">
        <v>84</v>
      </c>
      <c r="N11" s="5" t="s">
        <v>6</v>
      </c>
    </row>
    <row r="12" spans="1:26" ht="15.75" customHeight="1" x14ac:dyDescent="0.25">
      <c r="A12" s="4" t="s">
        <v>14</v>
      </c>
      <c r="B12" s="4" t="s">
        <v>85</v>
      </c>
      <c r="C12" s="4" t="s">
        <v>86</v>
      </c>
      <c r="D12" s="4">
        <f t="shared" si="0"/>
        <v>0</v>
      </c>
      <c r="E12" s="5" t="s">
        <v>87</v>
      </c>
      <c r="F12" s="5">
        <f t="shared" si="1"/>
        <v>0</v>
      </c>
      <c r="G12" s="5" t="s">
        <v>88</v>
      </c>
      <c r="H12" s="4">
        <f t="shared" si="2"/>
        <v>0</v>
      </c>
      <c r="I12" s="5" t="s">
        <v>89</v>
      </c>
      <c r="J12" s="4">
        <f t="shared" si="3"/>
        <v>0</v>
      </c>
      <c r="K12" s="5" t="s">
        <v>90</v>
      </c>
      <c r="L12" s="4">
        <f t="shared" si="4"/>
        <v>1</v>
      </c>
      <c r="M12" s="5" t="s">
        <v>91</v>
      </c>
      <c r="N12" s="5" t="s">
        <v>10</v>
      </c>
    </row>
    <row r="13" spans="1:26" ht="15.75" customHeight="1" x14ac:dyDescent="0.25">
      <c r="A13" s="4" t="s">
        <v>14</v>
      </c>
      <c r="B13" s="4" t="s">
        <v>92</v>
      </c>
      <c r="C13" s="4" t="s">
        <v>93</v>
      </c>
      <c r="D13" s="4">
        <f t="shared" si="0"/>
        <v>0</v>
      </c>
      <c r="E13" s="5" t="s">
        <v>94</v>
      </c>
      <c r="F13" s="5">
        <f t="shared" si="1"/>
        <v>0</v>
      </c>
      <c r="G13" s="5" t="s">
        <v>95</v>
      </c>
      <c r="H13" s="4">
        <f t="shared" si="2"/>
        <v>0</v>
      </c>
      <c r="I13" s="5" t="s">
        <v>96</v>
      </c>
      <c r="J13" s="4">
        <f t="shared" si="3"/>
        <v>0</v>
      </c>
      <c r="K13" s="5" t="s">
        <v>97</v>
      </c>
      <c r="L13" s="4">
        <f t="shared" si="4"/>
        <v>1</v>
      </c>
      <c r="M13" s="5" t="s">
        <v>98</v>
      </c>
      <c r="N13" s="5" t="s">
        <v>10</v>
      </c>
    </row>
    <row r="14" spans="1:26" ht="15.75" customHeight="1" x14ac:dyDescent="0.25">
      <c r="A14" s="4" t="s">
        <v>14</v>
      </c>
      <c r="B14" s="4" t="s">
        <v>99</v>
      </c>
      <c r="C14" s="4" t="s">
        <v>100</v>
      </c>
      <c r="D14" s="4">
        <f t="shared" si="0"/>
        <v>0</v>
      </c>
      <c r="E14" s="5" t="s">
        <v>101</v>
      </c>
      <c r="F14" s="5">
        <f t="shared" si="1"/>
        <v>0</v>
      </c>
      <c r="G14" s="5" t="s">
        <v>102</v>
      </c>
      <c r="H14" s="4">
        <f t="shared" si="2"/>
        <v>0</v>
      </c>
      <c r="I14" s="5" t="s">
        <v>103</v>
      </c>
      <c r="J14" s="4">
        <f t="shared" si="3"/>
        <v>1</v>
      </c>
      <c r="K14" s="5" t="s">
        <v>104</v>
      </c>
      <c r="L14" s="4">
        <f t="shared" si="4"/>
        <v>0</v>
      </c>
      <c r="M14" s="5" t="s">
        <v>105</v>
      </c>
      <c r="N14" s="5" t="s">
        <v>8</v>
      </c>
    </row>
    <row r="15" spans="1:26" ht="15.75" customHeight="1" x14ac:dyDescent="0.25">
      <c r="A15" s="4" t="s">
        <v>14</v>
      </c>
      <c r="B15" s="4" t="s">
        <v>106</v>
      </c>
      <c r="C15" s="4" t="s">
        <v>33</v>
      </c>
      <c r="D15" s="4">
        <f t="shared" si="0"/>
        <v>0</v>
      </c>
      <c r="E15" s="5" t="s">
        <v>107</v>
      </c>
      <c r="F15" s="5">
        <f t="shared" si="1"/>
        <v>0</v>
      </c>
      <c r="G15" s="5" t="s">
        <v>34</v>
      </c>
      <c r="H15" s="4">
        <f t="shared" si="2"/>
        <v>0</v>
      </c>
      <c r="I15" s="5" t="s">
        <v>108</v>
      </c>
      <c r="J15" s="4">
        <f t="shared" si="3"/>
        <v>1</v>
      </c>
      <c r="K15" s="5" t="s">
        <v>109</v>
      </c>
      <c r="L15" s="4">
        <f t="shared" si="4"/>
        <v>0</v>
      </c>
      <c r="M15" s="5" t="s">
        <v>110</v>
      </c>
      <c r="N15" s="5" t="s">
        <v>8</v>
      </c>
    </row>
    <row r="16" spans="1:26" ht="15.75" customHeight="1" x14ac:dyDescent="0.25">
      <c r="A16" s="4" t="s">
        <v>14</v>
      </c>
      <c r="B16" s="4" t="s">
        <v>111</v>
      </c>
      <c r="C16" s="4" t="s">
        <v>112</v>
      </c>
      <c r="D16" s="4">
        <f t="shared" si="0"/>
        <v>0</v>
      </c>
      <c r="E16" s="5" t="s">
        <v>113</v>
      </c>
      <c r="F16" s="5">
        <f t="shared" si="1"/>
        <v>0</v>
      </c>
      <c r="G16" s="5" t="s">
        <v>114</v>
      </c>
      <c r="H16" s="4">
        <f t="shared" si="2"/>
        <v>0</v>
      </c>
      <c r="I16" s="5" t="s">
        <v>115</v>
      </c>
      <c r="J16" s="4">
        <f t="shared" si="3"/>
        <v>0</v>
      </c>
      <c r="K16" s="5" t="s">
        <v>116</v>
      </c>
      <c r="L16" s="4">
        <f t="shared" si="4"/>
        <v>1</v>
      </c>
      <c r="M16" s="5" t="s">
        <v>117</v>
      </c>
      <c r="N16" s="5" t="s">
        <v>10</v>
      </c>
    </row>
    <row r="17" spans="1:14" ht="15.75" customHeight="1" x14ac:dyDescent="0.25">
      <c r="A17" s="4" t="s">
        <v>14</v>
      </c>
      <c r="B17" s="4" t="s">
        <v>118</v>
      </c>
      <c r="C17" s="4" t="s">
        <v>119</v>
      </c>
      <c r="D17" s="4">
        <f t="shared" si="0"/>
        <v>0</v>
      </c>
      <c r="E17" s="5" t="s">
        <v>120</v>
      </c>
      <c r="F17" s="5">
        <f t="shared" si="1"/>
        <v>1</v>
      </c>
      <c r="G17" s="5" t="s">
        <v>121</v>
      </c>
      <c r="H17" s="4">
        <f t="shared" si="2"/>
        <v>0</v>
      </c>
      <c r="I17" s="5" t="s">
        <v>122</v>
      </c>
      <c r="J17" s="4">
        <f t="shared" si="3"/>
        <v>0</v>
      </c>
      <c r="K17" s="5" t="s">
        <v>123</v>
      </c>
      <c r="L17" s="4">
        <f t="shared" si="4"/>
        <v>0</v>
      </c>
      <c r="M17" s="5" t="s">
        <v>124</v>
      </c>
      <c r="N17" s="5" t="s">
        <v>4</v>
      </c>
    </row>
    <row r="18" spans="1:14" ht="15.75" customHeight="1" x14ac:dyDescent="0.25">
      <c r="A18" s="4" t="s">
        <v>14</v>
      </c>
      <c r="B18" s="4" t="s">
        <v>125</v>
      </c>
      <c r="C18" s="4" t="s">
        <v>74</v>
      </c>
      <c r="D18" s="4">
        <f t="shared" si="0"/>
        <v>0</v>
      </c>
      <c r="E18" s="5" t="s">
        <v>73</v>
      </c>
      <c r="F18" s="5">
        <f t="shared" si="1"/>
        <v>1</v>
      </c>
      <c r="G18" s="5" t="s">
        <v>126</v>
      </c>
      <c r="H18" s="4">
        <f t="shared" si="2"/>
        <v>0</v>
      </c>
      <c r="I18" s="5" t="s">
        <v>127</v>
      </c>
      <c r="J18" s="4">
        <f t="shared" si="3"/>
        <v>0</v>
      </c>
      <c r="K18" s="5" t="s">
        <v>128</v>
      </c>
      <c r="L18" s="4">
        <f t="shared" si="4"/>
        <v>0</v>
      </c>
      <c r="M18" s="5" t="s">
        <v>129</v>
      </c>
      <c r="N18" s="5" t="s">
        <v>4</v>
      </c>
    </row>
    <row r="19" spans="1:14" ht="15.75" customHeight="1" x14ac:dyDescent="0.25">
      <c r="A19" s="4" t="s">
        <v>14</v>
      </c>
      <c r="B19" s="4" t="s">
        <v>130</v>
      </c>
      <c r="C19" s="4" t="s">
        <v>131</v>
      </c>
      <c r="D19" s="4">
        <f t="shared" si="0"/>
        <v>0</v>
      </c>
      <c r="E19" s="5" t="s">
        <v>132</v>
      </c>
      <c r="F19" s="5">
        <f t="shared" si="1"/>
        <v>0</v>
      </c>
      <c r="G19" s="5" t="s">
        <v>133</v>
      </c>
      <c r="H19" s="4">
        <f t="shared" si="2"/>
        <v>0</v>
      </c>
      <c r="I19" s="5" t="s">
        <v>134</v>
      </c>
      <c r="J19" s="4">
        <f t="shared" si="3"/>
        <v>1</v>
      </c>
      <c r="K19" s="5" t="s">
        <v>135</v>
      </c>
      <c r="L19" s="4">
        <f t="shared" si="4"/>
        <v>0</v>
      </c>
      <c r="M19" s="5" t="s">
        <v>136</v>
      </c>
      <c r="N19" s="5" t="s">
        <v>8</v>
      </c>
    </row>
    <row r="20" spans="1:14" ht="15.75" customHeight="1" x14ac:dyDescent="0.25">
      <c r="A20" s="4" t="s">
        <v>14</v>
      </c>
      <c r="B20" s="4" t="s">
        <v>137</v>
      </c>
      <c r="C20" s="4" t="s">
        <v>138</v>
      </c>
      <c r="D20" s="4">
        <f t="shared" si="0"/>
        <v>0</v>
      </c>
      <c r="E20" s="5" t="s">
        <v>139</v>
      </c>
      <c r="F20" s="5">
        <f t="shared" si="1"/>
        <v>0</v>
      </c>
      <c r="G20" s="5" t="s">
        <v>140</v>
      </c>
      <c r="H20" s="4">
        <f t="shared" si="2"/>
        <v>1</v>
      </c>
      <c r="I20" s="5" t="s">
        <v>141</v>
      </c>
      <c r="J20" s="4">
        <f t="shared" si="3"/>
        <v>0</v>
      </c>
      <c r="K20" s="5" t="s">
        <v>142</v>
      </c>
      <c r="L20" s="4">
        <f t="shared" si="4"/>
        <v>0</v>
      </c>
      <c r="M20" s="5" t="s">
        <v>143</v>
      </c>
      <c r="N20" s="5" t="s">
        <v>6</v>
      </c>
    </row>
    <row r="21" spans="1:14" ht="15.75" customHeight="1" x14ac:dyDescent="0.25">
      <c r="A21" s="4" t="s">
        <v>14</v>
      </c>
      <c r="B21" s="4" t="s">
        <v>144</v>
      </c>
      <c r="C21" s="4" t="s">
        <v>145</v>
      </c>
      <c r="D21" s="4">
        <f t="shared" si="0"/>
        <v>0</v>
      </c>
      <c r="E21" s="5" t="s">
        <v>146</v>
      </c>
      <c r="F21" s="5">
        <f t="shared" si="1"/>
        <v>0</v>
      </c>
      <c r="G21" s="5" t="s">
        <v>147</v>
      </c>
      <c r="H21" s="4">
        <f t="shared" si="2"/>
        <v>0</v>
      </c>
      <c r="I21" s="5" t="s">
        <v>148</v>
      </c>
      <c r="J21" s="4">
        <f t="shared" si="3"/>
        <v>0</v>
      </c>
      <c r="K21" s="5" t="s">
        <v>149</v>
      </c>
      <c r="L21" s="4">
        <f t="shared" si="4"/>
        <v>1</v>
      </c>
      <c r="M21" s="5" t="s">
        <v>150</v>
      </c>
      <c r="N21" s="5" t="s">
        <v>10</v>
      </c>
    </row>
    <row r="22" spans="1:14" ht="12.5" x14ac:dyDescent="0.25">
      <c r="A22" s="4" t="s">
        <v>151</v>
      </c>
      <c r="B22" s="4" t="s">
        <v>152</v>
      </c>
      <c r="C22" s="4" t="s">
        <v>153</v>
      </c>
      <c r="D22" s="4">
        <v>0</v>
      </c>
      <c r="E22" s="4" t="s">
        <v>154</v>
      </c>
      <c r="F22" s="4">
        <v>0</v>
      </c>
      <c r="G22" s="4" t="s">
        <v>155</v>
      </c>
      <c r="H22" s="4">
        <v>0</v>
      </c>
      <c r="I22" s="4" t="s">
        <v>156</v>
      </c>
      <c r="J22" s="4">
        <v>1</v>
      </c>
      <c r="K22" s="4" t="s">
        <v>157</v>
      </c>
      <c r="L22" s="4">
        <v>0</v>
      </c>
      <c r="M22" s="4" t="s">
        <v>158</v>
      </c>
      <c r="N22" s="4" t="s">
        <v>8</v>
      </c>
    </row>
    <row r="23" spans="1:14" ht="12.5" x14ac:dyDescent="0.25">
      <c r="A23" s="4" t="s">
        <v>151</v>
      </c>
      <c r="B23" s="4" t="s">
        <v>159</v>
      </c>
      <c r="C23" s="4" t="s">
        <v>160</v>
      </c>
      <c r="D23" s="4">
        <v>0</v>
      </c>
      <c r="E23" s="4" t="s">
        <v>161</v>
      </c>
      <c r="F23" s="4">
        <v>0</v>
      </c>
      <c r="G23" s="4" t="s">
        <v>162</v>
      </c>
      <c r="H23" s="4">
        <v>0</v>
      </c>
      <c r="I23" s="4" t="s">
        <v>163</v>
      </c>
      <c r="J23" s="4">
        <v>0</v>
      </c>
      <c r="K23" s="4" t="s">
        <v>164</v>
      </c>
      <c r="L23" s="4">
        <v>1</v>
      </c>
      <c r="M23" s="4" t="s">
        <v>165</v>
      </c>
      <c r="N23" s="4" t="s">
        <v>10</v>
      </c>
    </row>
    <row r="24" spans="1:14" ht="12.5" x14ac:dyDescent="0.25">
      <c r="A24" s="4" t="s">
        <v>151</v>
      </c>
      <c r="B24" s="4" t="s">
        <v>166</v>
      </c>
      <c r="C24" s="4" t="s">
        <v>167</v>
      </c>
      <c r="D24" s="4">
        <v>0</v>
      </c>
      <c r="E24" s="4" t="s">
        <v>168</v>
      </c>
      <c r="F24" s="4">
        <v>1</v>
      </c>
      <c r="G24" s="4" t="s">
        <v>169</v>
      </c>
      <c r="H24" s="4">
        <v>0</v>
      </c>
      <c r="I24" s="4" t="s">
        <v>170</v>
      </c>
      <c r="J24" s="4">
        <v>0</v>
      </c>
      <c r="K24" s="4" t="s">
        <v>171</v>
      </c>
      <c r="L24" s="4">
        <v>0</v>
      </c>
      <c r="M24" s="4" t="s">
        <v>172</v>
      </c>
      <c r="N24" s="4" t="s">
        <v>4</v>
      </c>
    </row>
    <row r="25" spans="1:14" ht="12.5" x14ac:dyDescent="0.25">
      <c r="A25" s="4" t="s">
        <v>151</v>
      </c>
      <c r="B25" s="4" t="s">
        <v>173</v>
      </c>
      <c r="C25" s="4" t="s">
        <v>174</v>
      </c>
      <c r="D25" s="4">
        <v>0</v>
      </c>
      <c r="E25" s="4" t="s">
        <v>175</v>
      </c>
      <c r="F25" s="4">
        <v>0</v>
      </c>
      <c r="G25" s="4" t="s">
        <v>176</v>
      </c>
      <c r="H25" s="4">
        <v>0</v>
      </c>
      <c r="I25" s="4" t="s">
        <v>177</v>
      </c>
      <c r="J25" s="4">
        <v>1</v>
      </c>
      <c r="K25" s="4" t="s">
        <v>178</v>
      </c>
      <c r="L25" s="4">
        <v>0</v>
      </c>
      <c r="M25" s="4" t="s">
        <v>179</v>
      </c>
      <c r="N25" s="4" t="s">
        <v>8</v>
      </c>
    </row>
    <row r="26" spans="1:14" ht="12.5" x14ac:dyDescent="0.25">
      <c r="A26" s="4" t="s">
        <v>151</v>
      </c>
      <c r="B26" s="4" t="s">
        <v>180</v>
      </c>
      <c r="C26" s="4" t="s">
        <v>181</v>
      </c>
      <c r="D26" s="4">
        <v>0</v>
      </c>
      <c r="E26" s="4" t="s">
        <v>182</v>
      </c>
      <c r="F26" s="4">
        <v>1</v>
      </c>
      <c r="G26" s="4" t="s">
        <v>183</v>
      </c>
      <c r="H26" s="4">
        <v>0</v>
      </c>
      <c r="I26" s="4" t="s">
        <v>184</v>
      </c>
      <c r="J26" s="4">
        <v>0</v>
      </c>
      <c r="K26" s="4" t="s">
        <v>185</v>
      </c>
      <c r="L26" s="4">
        <v>0</v>
      </c>
      <c r="M26" s="4" t="s">
        <v>186</v>
      </c>
      <c r="N26" s="4" t="s">
        <v>4</v>
      </c>
    </row>
    <row r="27" spans="1:14" ht="12.5" x14ac:dyDescent="0.25">
      <c r="A27" s="4" t="s">
        <v>151</v>
      </c>
      <c r="B27" s="4" t="s">
        <v>187</v>
      </c>
      <c r="C27" s="4" t="s">
        <v>188</v>
      </c>
      <c r="D27" s="4">
        <v>0</v>
      </c>
      <c r="E27" s="4" t="s">
        <v>189</v>
      </c>
      <c r="F27" s="4">
        <v>0</v>
      </c>
      <c r="G27" s="4" t="s">
        <v>190</v>
      </c>
      <c r="H27" s="4">
        <v>0</v>
      </c>
      <c r="I27" s="4" t="s">
        <v>191</v>
      </c>
      <c r="J27" s="4">
        <v>0</v>
      </c>
      <c r="K27" s="4" t="s">
        <v>192</v>
      </c>
      <c r="L27" s="4">
        <v>1</v>
      </c>
      <c r="M27" s="4" t="s">
        <v>193</v>
      </c>
      <c r="N27" s="4" t="s">
        <v>10</v>
      </c>
    </row>
    <row r="28" spans="1:14" ht="12.5" x14ac:dyDescent="0.25">
      <c r="A28" s="4" t="s">
        <v>151</v>
      </c>
      <c r="B28" s="4" t="s">
        <v>194</v>
      </c>
      <c r="C28" s="4" t="s">
        <v>195</v>
      </c>
      <c r="D28" s="4">
        <v>0</v>
      </c>
      <c r="E28" s="4" t="s">
        <v>196</v>
      </c>
      <c r="F28" s="4">
        <v>0</v>
      </c>
      <c r="G28" s="4" t="s">
        <v>161</v>
      </c>
      <c r="H28" s="4">
        <v>0</v>
      </c>
      <c r="I28" s="4" t="s">
        <v>162</v>
      </c>
      <c r="J28" s="4">
        <v>1</v>
      </c>
      <c r="K28" s="4" t="s">
        <v>197</v>
      </c>
      <c r="L28" s="4">
        <v>0</v>
      </c>
      <c r="M28" s="4" t="s">
        <v>198</v>
      </c>
      <c r="N28" s="4" t="s">
        <v>8</v>
      </c>
    </row>
    <row r="29" spans="1:14" ht="12.5" x14ac:dyDescent="0.25">
      <c r="A29" s="4" t="s">
        <v>151</v>
      </c>
      <c r="B29" s="4" t="s">
        <v>199</v>
      </c>
      <c r="C29" s="4" t="s">
        <v>200</v>
      </c>
      <c r="D29" s="4">
        <v>0</v>
      </c>
      <c r="E29" s="4" t="s">
        <v>201</v>
      </c>
      <c r="F29" s="4">
        <v>0</v>
      </c>
      <c r="G29" s="4" t="s">
        <v>202</v>
      </c>
      <c r="H29" s="4">
        <v>0</v>
      </c>
      <c r="I29" s="4" t="s">
        <v>203</v>
      </c>
      <c r="J29" s="4">
        <v>1</v>
      </c>
      <c r="K29" s="4" t="s">
        <v>204</v>
      </c>
      <c r="L29" s="4">
        <v>0</v>
      </c>
      <c r="M29" s="4" t="s">
        <v>205</v>
      </c>
      <c r="N29" s="4" t="s">
        <v>8</v>
      </c>
    </row>
    <row r="30" spans="1:14" ht="12.5" x14ac:dyDescent="0.25">
      <c r="A30" s="4" t="s">
        <v>151</v>
      </c>
      <c r="B30" s="4" t="s">
        <v>206</v>
      </c>
      <c r="C30" s="4" t="s">
        <v>207</v>
      </c>
      <c r="D30" s="4">
        <v>0</v>
      </c>
      <c r="E30" s="4" t="s">
        <v>208</v>
      </c>
      <c r="F30" s="4">
        <v>1</v>
      </c>
      <c r="G30" s="4" t="s">
        <v>209</v>
      </c>
      <c r="H30" s="4">
        <v>0</v>
      </c>
      <c r="I30" s="4" t="s">
        <v>210</v>
      </c>
      <c r="J30" s="4">
        <v>0</v>
      </c>
      <c r="K30" s="4" t="s">
        <v>211</v>
      </c>
      <c r="L30" s="4">
        <v>0</v>
      </c>
      <c r="M30" s="4" t="s">
        <v>212</v>
      </c>
      <c r="N30" s="4" t="s">
        <v>4</v>
      </c>
    </row>
    <row r="31" spans="1:14" ht="12.5" x14ac:dyDescent="0.25">
      <c r="A31" s="4" t="s">
        <v>151</v>
      </c>
      <c r="B31" s="4" t="s">
        <v>213</v>
      </c>
      <c r="C31" s="4" t="s">
        <v>214</v>
      </c>
      <c r="D31" s="4">
        <v>0</v>
      </c>
      <c r="E31" s="4" t="s">
        <v>215</v>
      </c>
      <c r="F31" s="4">
        <v>0</v>
      </c>
      <c r="G31" s="4" t="s">
        <v>184</v>
      </c>
      <c r="H31" s="4">
        <v>0</v>
      </c>
      <c r="I31" s="4" t="s">
        <v>216</v>
      </c>
      <c r="J31" s="4">
        <v>1</v>
      </c>
      <c r="K31" s="4" t="s">
        <v>217</v>
      </c>
      <c r="L31" s="4">
        <v>0</v>
      </c>
      <c r="M31" s="4" t="s">
        <v>218</v>
      </c>
      <c r="N31" s="4" t="s">
        <v>8</v>
      </c>
    </row>
    <row r="32" spans="1:14" ht="12.5" x14ac:dyDescent="0.25">
      <c r="A32" s="4" t="s">
        <v>219</v>
      </c>
      <c r="B32" s="4" t="s">
        <v>220</v>
      </c>
      <c r="C32" s="4" t="s">
        <v>221</v>
      </c>
      <c r="D32" s="4">
        <v>0</v>
      </c>
      <c r="E32" s="4" t="s">
        <v>222</v>
      </c>
      <c r="F32" s="4">
        <v>1</v>
      </c>
      <c r="G32" s="4" t="s">
        <v>223</v>
      </c>
      <c r="H32" s="4">
        <v>0</v>
      </c>
      <c r="I32" s="4" t="s">
        <v>224</v>
      </c>
      <c r="J32" s="4">
        <v>0</v>
      </c>
      <c r="K32" s="4" t="s">
        <v>225</v>
      </c>
      <c r="L32" s="4">
        <v>0</v>
      </c>
      <c r="M32" s="4" t="s">
        <v>226</v>
      </c>
      <c r="N32" s="4" t="s">
        <v>4</v>
      </c>
    </row>
    <row r="33" spans="1:14" ht="12.5" x14ac:dyDescent="0.25">
      <c r="A33" s="4" t="s">
        <v>219</v>
      </c>
      <c r="B33" s="4" t="s">
        <v>227</v>
      </c>
      <c r="C33" s="4" t="s">
        <v>228</v>
      </c>
      <c r="D33" s="4">
        <v>1</v>
      </c>
      <c r="E33" s="4" t="s">
        <v>229</v>
      </c>
      <c r="F33" s="4">
        <v>0</v>
      </c>
      <c r="G33" s="4" t="s">
        <v>230</v>
      </c>
      <c r="H33" s="4">
        <v>0</v>
      </c>
      <c r="I33" s="4" t="s">
        <v>231</v>
      </c>
      <c r="J33" s="4">
        <v>0</v>
      </c>
      <c r="K33" s="4" t="s">
        <v>232</v>
      </c>
      <c r="L33" s="4">
        <v>0</v>
      </c>
      <c r="M33" s="4" t="s">
        <v>233</v>
      </c>
      <c r="N33" s="4" t="s">
        <v>2</v>
      </c>
    </row>
    <row r="34" spans="1:14" ht="12.5" x14ac:dyDescent="0.25">
      <c r="A34" s="4" t="s">
        <v>219</v>
      </c>
      <c r="B34" s="4" t="s">
        <v>234</v>
      </c>
      <c r="C34" s="4" t="s">
        <v>235</v>
      </c>
      <c r="D34" s="4">
        <v>0</v>
      </c>
      <c r="E34" s="4" t="s">
        <v>236</v>
      </c>
      <c r="F34" s="4">
        <v>1</v>
      </c>
      <c r="G34" s="4" t="s">
        <v>237</v>
      </c>
      <c r="H34" s="4">
        <v>0</v>
      </c>
      <c r="I34" s="4" t="s">
        <v>238</v>
      </c>
      <c r="J34" s="4">
        <v>0</v>
      </c>
      <c r="K34" s="4" t="s">
        <v>239</v>
      </c>
      <c r="L34" s="4">
        <v>0</v>
      </c>
      <c r="M34" s="4" t="s">
        <v>240</v>
      </c>
      <c r="N34" s="4" t="s">
        <v>4</v>
      </c>
    </row>
    <row r="35" spans="1:14" ht="12.5" x14ac:dyDescent="0.25">
      <c r="A35" s="4" t="s">
        <v>219</v>
      </c>
      <c r="B35" s="4" t="s">
        <v>241</v>
      </c>
      <c r="C35" s="4" t="s">
        <v>242</v>
      </c>
      <c r="D35" s="4">
        <v>0</v>
      </c>
      <c r="E35" s="4" t="s">
        <v>243</v>
      </c>
      <c r="F35" s="4">
        <v>1</v>
      </c>
      <c r="G35" s="4" t="s">
        <v>244</v>
      </c>
      <c r="H35" s="4">
        <v>0</v>
      </c>
      <c r="I35" s="4" t="s">
        <v>245</v>
      </c>
      <c r="J35" s="4">
        <v>0</v>
      </c>
      <c r="K35" s="4" t="s">
        <v>246</v>
      </c>
      <c r="L35" s="4">
        <v>0</v>
      </c>
      <c r="M35" s="4" t="s">
        <v>247</v>
      </c>
      <c r="N35" s="4" t="s">
        <v>4</v>
      </c>
    </row>
    <row r="36" spans="1:14" ht="12.5" x14ac:dyDescent="0.25">
      <c r="A36" s="4" t="s">
        <v>219</v>
      </c>
      <c r="B36" s="4" t="s">
        <v>248</v>
      </c>
      <c r="C36" s="4" t="s">
        <v>249</v>
      </c>
      <c r="D36" s="4">
        <v>0</v>
      </c>
      <c r="E36" s="4" t="s">
        <v>250</v>
      </c>
      <c r="F36" s="4">
        <v>1</v>
      </c>
      <c r="G36" s="4" t="s">
        <v>251</v>
      </c>
      <c r="H36" s="4">
        <v>0</v>
      </c>
      <c r="I36" s="4" t="s">
        <v>252</v>
      </c>
      <c r="J36" s="4">
        <v>0</v>
      </c>
      <c r="K36" s="4" t="s">
        <v>253</v>
      </c>
      <c r="L36" s="4">
        <v>0</v>
      </c>
      <c r="M36" s="4" t="s">
        <v>254</v>
      </c>
      <c r="N36" s="4" t="s">
        <v>4</v>
      </c>
    </row>
    <row r="37" spans="1:14" ht="12.5" x14ac:dyDescent="0.25">
      <c r="A37" s="4" t="s">
        <v>219</v>
      </c>
      <c r="B37" s="4" t="s">
        <v>255</v>
      </c>
      <c r="C37" s="4" t="s">
        <v>256</v>
      </c>
      <c r="D37" s="4">
        <v>0</v>
      </c>
      <c r="E37" s="4" t="s">
        <v>257</v>
      </c>
      <c r="F37" s="4">
        <v>1</v>
      </c>
      <c r="G37" s="4" t="s">
        <v>258</v>
      </c>
      <c r="H37" s="4">
        <v>0</v>
      </c>
      <c r="I37" s="4" t="s">
        <v>259</v>
      </c>
      <c r="J37" s="4">
        <v>0</v>
      </c>
      <c r="K37" s="4" t="s">
        <v>260</v>
      </c>
      <c r="L37" s="4">
        <v>0</v>
      </c>
      <c r="M37" s="4" t="s">
        <v>261</v>
      </c>
      <c r="N37" s="4" t="s">
        <v>4</v>
      </c>
    </row>
    <row r="38" spans="1:14" ht="12.5" x14ac:dyDescent="0.25">
      <c r="A38" s="4" t="s">
        <v>219</v>
      </c>
      <c r="B38" s="4" t="s">
        <v>262</v>
      </c>
      <c r="C38" s="4" t="s">
        <v>263</v>
      </c>
      <c r="D38" s="4">
        <v>0</v>
      </c>
      <c r="E38" s="4" t="s">
        <v>264</v>
      </c>
      <c r="F38" s="4">
        <v>1</v>
      </c>
      <c r="G38" s="4" t="s">
        <v>265</v>
      </c>
      <c r="H38" s="4">
        <v>0</v>
      </c>
      <c r="I38" s="4" t="s">
        <v>266</v>
      </c>
      <c r="J38" s="4">
        <v>0</v>
      </c>
      <c r="K38" s="4" t="s">
        <v>267</v>
      </c>
      <c r="L38" s="4">
        <v>0</v>
      </c>
      <c r="M38" s="4" t="s">
        <v>268</v>
      </c>
      <c r="N38" s="4" t="s">
        <v>4</v>
      </c>
    </row>
    <row r="39" spans="1:14" ht="12.5" x14ac:dyDescent="0.25">
      <c r="A39" s="4" t="s">
        <v>219</v>
      </c>
      <c r="B39" s="4" t="s">
        <v>269</v>
      </c>
      <c r="C39" s="4" t="s">
        <v>270</v>
      </c>
      <c r="D39" s="4">
        <v>0</v>
      </c>
      <c r="E39" s="4" t="s">
        <v>271</v>
      </c>
      <c r="F39" s="4">
        <v>1</v>
      </c>
      <c r="G39" s="4" t="s">
        <v>272</v>
      </c>
      <c r="H39" s="4">
        <v>0</v>
      </c>
      <c r="I39" s="4" t="s">
        <v>273</v>
      </c>
      <c r="J39" s="4">
        <v>0</v>
      </c>
      <c r="K39" s="4" t="s">
        <v>274</v>
      </c>
      <c r="L39" s="4">
        <v>0</v>
      </c>
      <c r="M39" s="4" t="s">
        <v>275</v>
      </c>
      <c r="N39" s="4" t="s">
        <v>4</v>
      </c>
    </row>
    <row r="40" spans="1:14" ht="12.5" x14ac:dyDescent="0.25">
      <c r="A40" s="4" t="s">
        <v>219</v>
      </c>
      <c r="B40" s="4" t="s">
        <v>276</v>
      </c>
      <c r="C40" s="4" t="s">
        <v>277</v>
      </c>
      <c r="D40" s="4">
        <v>0</v>
      </c>
      <c r="E40" s="4" t="s">
        <v>278</v>
      </c>
      <c r="F40" s="4">
        <v>1</v>
      </c>
      <c r="G40" s="4" t="s">
        <v>279</v>
      </c>
      <c r="H40" s="4">
        <v>0</v>
      </c>
      <c r="I40" s="4" t="s">
        <v>280</v>
      </c>
      <c r="J40" s="4">
        <v>0</v>
      </c>
      <c r="K40" s="4" t="s">
        <v>281</v>
      </c>
      <c r="L40" s="4">
        <v>0</v>
      </c>
      <c r="M40" s="4" t="s">
        <v>282</v>
      </c>
      <c r="N40" s="4" t="s">
        <v>4</v>
      </c>
    </row>
    <row r="41" spans="1:14" ht="12.5" x14ac:dyDescent="0.25">
      <c r="A41" s="4" t="s">
        <v>219</v>
      </c>
      <c r="B41" s="4" t="s">
        <v>283</v>
      </c>
      <c r="C41" s="4" t="s">
        <v>284</v>
      </c>
      <c r="D41" s="4">
        <v>0</v>
      </c>
      <c r="E41" s="4" t="s">
        <v>285</v>
      </c>
      <c r="F41" s="4">
        <v>1</v>
      </c>
      <c r="G41" s="4" t="s">
        <v>286</v>
      </c>
      <c r="H41" s="4">
        <v>0</v>
      </c>
      <c r="I41" s="4" t="s">
        <v>287</v>
      </c>
      <c r="J41" s="4">
        <v>0</v>
      </c>
      <c r="K41" s="4" t="s">
        <v>288</v>
      </c>
      <c r="L41" s="4">
        <v>0</v>
      </c>
      <c r="M41" s="4" t="s">
        <v>289</v>
      </c>
      <c r="N41" s="4" t="s">
        <v>4</v>
      </c>
    </row>
    <row r="42" spans="1:14" ht="12.5" x14ac:dyDescent="0.25">
      <c r="A42" s="4" t="s">
        <v>219</v>
      </c>
      <c r="B42" s="4" t="s">
        <v>290</v>
      </c>
      <c r="C42" s="4" t="s">
        <v>291</v>
      </c>
      <c r="D42" s="4">
        <v>0</v>
      </c>
      <c r="E42" s="4" t="s">
        <v>292</v>
      </c>
      <c r="F42" s="4">
        <v>1</v>
      </c>
      <c r="G42" s="4" t="s">
        <v>293</v>
      </c>
      <c r="H42" s="4">
        <v>0</v>
      </c>
      <c r="I42" s="4" t="s">
        <v>294</v>
      </c>
      <c r="J42" s="4">
        <v>0</v>
      </c>
      <c r="K42" s="4" t="s">
        <v>295</v>
      </c>
      <c r="L42" s="4">
        <v>0</v>
      </c>
      <c r="M42" s="4" t="s">
        <v>296</v>
      </c>
      <c r="N42" s="4" t="s">
        <v>4</v>
      </c>
    </row>
    <row r="43" spans="1:14" ht="12.5" x14ac:dyDescent="0.25">
      <c r="A43" s="4" t="s">
        <v>219</v>
      </c>
      <c r="B43" s="4" t="s">
        <v>297</v>
      </c>
      <c r="C43" s="4" t="s">
        <v>298</v>
      </c>
      <c r="D43" s="4">
        <v>0</v>
      </c>
      <c r="E43" s="4" t="s">
        <v>299</v>
      </c>
      <c r="F43" s="4">
        <v>1</v>
      </c>
      <c r="G43" s="4" t="s">
        <v>300</v>
      </c>
      <c r="H43" s="4">
        <v>0</v>
      </c>
      <c r="I43" s="4" t="s">
        <v>301</v>
      </c>
      <c r="J43" s="4">
        <v>0</v>
      </c>
      <c r="K43" s="4" t="s">
        <v>302</v>
      </c>
      <c r="L43" s="4">
        <v>0</v>
      </c>
      <c r="M43" s="4" t="s">
        <v>303</v>
      </c>
      <c r="N43" s="4" t="s">
        <v>4</v>
      </c>
    </row>
    <row r="44" spans="1:14" ht="12.5" x14ac:dyDescent="0.25">
      <c r="A44" s="4" t="s">
        <v>219</v>
      </c>
      <c r="B44" s="4" t="s">
        <v>304</v>
      </c>
      <c r="C44" s="4" t="s">
        <v>305</v>
      </c>
      <c r="D44" s="4">
        <v>0</v>
      </c>
      <c r="E44" s="4" t="s">
        <v>306</v>
      </c>
      <c r="F44" s="4">
        <v>1</v>
      </c>
      <c r="G44" s="4" t="s">
        <v>307</v>
      </c>
      <c r="H44" s="4">
        <v>0</v>
      </c>
      <c r="I44" s="4" t="s">
        <v>245</v>
      </c>
      <c r="J44" s="4">
        <v>0</v>
      </c>
      <c r="K44" s="4" t="s">
        <v>308</v>
      </c>
      <c r="L44" s="4">
        <v>0</v>
      </c>
      <c r="M44" s="4" t="s">
        <v>309</v>
      </c>
      <c r="N44" s="4" t="s">
        <v>4</v>
      </c>
    </row>
    <row r="45" spans="1:14" ht="12.5" x14ac:dyDescent="0.25">
      <c r="A45" s="4" t="s">
        <v>219</v>
      </c>
      <c r="B45" s="4" t="s">
        <v>310</v>
      </c>
      <c r="C45" s="4" t="s">
        <v>311</v>
      </c>
      <c r="D45" s="4">
        <v>0</v>
      </c>
      <c r="E45" s="4" t="s">
        <v>312</v>
      </c>
      <c r="F45" s="4">
        <v>1</v>
      </c>
      <c r="G45" s="4" t="s">
        <v>313</v>
      </c>
      <c r="H45" s="4">
        <v>0</v>
      </c>
      <c r="I45" s="4" t="s">
        <v>314</v>
      </c>
      <c r="J45" s="4">
        <v>0</v>
      </c>
      <c r="K45" s="4" t="s">
        <v>315</v>
      </c>
      <c r="L45" s="4">
        <v>0</v>
      </c>
      <c r="M45" s="4" t="s">
        <v>316</v>
      </c>
      <c r="N45" s="4" t="s">
        <v>4</v>
      </c>
    </row>
    <row r="46" spans="1:14" ht="12.5" x14ac:dyDescent="0.25">
      <c r="A46" s="4" t="s">
        <v>219</v>
      </c>
      <c r="B46" s="4" t="s">
        <v>317</v>
      </c>
      <c r="C46" s="4" t="s">
        <v>318</v>
      </c>
      <c r="D46" s="4">
        <v>0</v>
      </c>
      <c r="E46" s="4" t="s">
        <v>319</v>
      </c>
      <c r="F46" s="4">
        <v>1</v>
      </c>
      <c r="G46" s="4" t="s">
        <v>320</v>
      </c>
      <c r="H46" s="4">
        <v>0</v>
      </c>
      <c r="I46" s="4" t="s">
        <v>321</v>
      </c>
      <c r="J46" s="4">
        <v>0</v>
      </c>
      <c r="K46" s="4" t="s">
        <v>322</v>
      </c>
      <c r="L46" s="4">
        <v>0</v>
      </c>
      <c r="M46" s="4" t="s">
        <v>323</v>
      </c>
      <c r="N46" s="4" t="s">
        <v>4</v>
      </c>
    </row>
    <row r="47" spans="1:14" ht="12.5" x14ac:dyDescent="0.25">
      <c r="A47" s="4" t="s">
        <v>219</v>
      </c>
      <c r="B47" s="4" t="s">
        <v>324</v>
      </c>
      <c r="C47" s="4" t="s">
        <v>325</v>
      </c>
      <c r="D47" s="4">
        <v>0</v>
      </c>
      <c r="E47" s="4" t="s">
        <v>326</v>
      </c>
      <c r="F47" s="4">
        <v>1</v>
      </c>
      <c r="G47" s="4" t="s">
        <v>327</v>
      </c>
      <c r="H47" s="4">
        <v>0</v>
      </c>
      <c r="I47" s="4" t="s">
        <v>328</v>
      </c>
      <c r="J47" s="4">
        <v>0</v>
      </c>
      <c r="K47" s="4" t="s">
        <v>329</v>
      </c>
      <c r="L47" s="4">
        <v>0</v>
      </c>
      <c r="M47" s="4" t="s">
        <v>330</v>
      </c>
      <c r="N47" s="4" t="s">
        <v>4</v>
      </c>
    </row>
    <row r="48" spans="1:14" ht="12.5" x14ac:dyDescent="0.25">
      <c r="A48" s="4" t="s">
        <v>219</v>
      </c>
      <c r="B48" s="4" t="s">
        <v>331</v>
      </c>
      <c r="C48" s="4" t="s">
        <v>332</v>
      </c>
      <c r="D48" s="4">
        <v>0</v>
      </c>
      <c r="E48" s="4" t="s">
        <v>333</v>
      </c>
      <c r="F48" s="4">
        <v>1</v>
      </c>
      <c r="G48" s="4" t="s">
        <v>334</v>
      </c>
      <c r="H48" s="4">
        <v>0</v>
      </c>
      <c r="I48" s="4" t="s">
        <v>335</v>
      </c>
      <c r="J48" s="4">
        <v>0</v>
      </c>
      <c r="K48" s="4" t="s">
        <v>336</v>
      </c>
      <c r="L48" s="4">
        <v>0</v>
      </c>
      <c r="M48" s="4" t="s">
        <v>337</v>
      </c>
      <c r="N48" s="4" t="s">
        <v>4</v>
      </c>
    </row>
    <row r="49" spans="1:14" ht="12.5" x14ac:dyDescent="0.25">
      <c r="A49" s="4" t="s">
        <v>219</v>
      </c>
      <c r="B49" s="4" t="s">
        <v>290</v>
      </c>
      <c r="C49" s="4" t="s">
        <v>291</v>
      </c>
      <c r="D49" s="4">
        <v>0</v>
      </c>
      <c r="E49" s="4" t="s">
        <v>292</v>
      </c>
      <c r="F49" s="4">
        <v>1</v>
      </c>
      <c r="G49" s="4" t="s">
        <v>293</v>
      </c>
      <c r="H49" s="4">
        <v>0</v>
      </c>
      <c r="I49" s="4" t="s">
        <v>294</v>
      </c>
      <c r="J49" s="4">
        <v>0</v>
      </c>
      <c r="K49" s="4" t="s">
        <v>295</v>
      </c>
      <c r="L49" s="4">
        <v>0</v>
      </c>
      <c r="M49" s="4" t="s">
        <v>296</v>
      </c>
      <c r="N49" s="4" t="s">
        <v>4</v>
      </c>
    </row>
    <row r="50" spans="1:14" ht="12.5" x14ac:dyDescent="0.25">
      <c r="A50" s="4" t="s">
        <v>219</v>
      </c>
      <c r="B50" s="4" t="s">
        <v>338</v>
      </c>
      <c r="C50" s="4" t="s">
        <v>339</v>
      </c>
      <c r="D50" s="4">
        <v>0</v>
      </c>
      <c r="E50" s="4" t="s">
        <v>340</v>
      </c>
      <c r="F50" s="4">
        <v>1</v>
      </c>
      <c r="G50" s="4" t="s">
        <v>341</v>
      </c>
      <c r="H50" s="4">
        <v>0</v>
      </c>
      <c r="I50" s="4" t="s">
        <v>342</v>
      </c>
      <c r="J50" s="4">
        <v>0</v>
      </c>
      <c r="K50" s="4" t="s">
        <v>343</v>
      </c>
      <c r="L50" s="4">
        <v>0</v>
      </c>
      <c r="M50" s="4" t="s">
        <v>344</v>
      </c>
      <c r="N50" s="4" t="s">
        <v>4</v>
      </c>
    </row>
    <row r="51" spans="1:14" ht="12.5" x14ac:dyDescent="0.25">
      <c r="A51" s="4" t="s">
        <v>219</v>
      </c>
      <c r="B51" s="4" t="s">
        <v>345</v>
      </c>
      <c r="C51" s="4" t="s">
        <v>346</v>
      </c>
      <c r="D51" s="4">
        <v>0</v>
      </c>
      <c r="E51" s="4" t="s">
        <v>347</v>
      </c>
      <c r="F51" s="4">
        <v>1</v>
      </c>
      <c r="G51" s="4" t="s">
        <v>348</v>
      </c>
      <c r="H51" s="4">
        <v>0</v>
      </c>
      <c r="I51" s="4" t="s">
        <v>349</v>
      </c>
      <c r="J51" s="4">
        <v>0</v>
      </c>
      <c r="K51" s="4" t="s">
        <v>350</v>
      </c>
      <c r="L51" s="4">
        <v>0</v>
      </c>
      <c r="M51" s="4" t="s">
        <v>351</v>
      </c>
      <c r="N51" s="4" t="s">
        <v>4</v>
      </c>
    </row>
    <row r="58" spans="1:14" ht="12.5" x14ac:dyDescent="0.25">
      <c r="B58" s="7"/>
      <c r="C58" s="8"/>
      <c r="D58" s="8"/>
      <c r="E58" s="8"/>
      <c r="F58" s="8"/>
      <c r="G58" s="8"/>
      <c r="H58" s="8"/>
      <c r="I58" s="8"/>
      <c r="J58" s="8"/>
      <c r="K58" s="8"/>
      <c r="L58" s="8"/>
      <c r="M58" s="5"/>
      <c r="N58" s="5"/>
    </row>
    <row r="59" spans="1:14" ht="12.5" x14ac:dyDescent="0.25">
      <c r="B59" s="7"/>
      <c r="C59" s="9"/>
      <c r="D59" s="8"/>
      <c r="E59" s="9"/>
      <c r="F59" s="8"/>
      <c r="G59" s="9"/>
      <c r="H59" s="8"/>
      <c r="I59" s="5"/>
      <c r="J59" s="8"/>
      <c r="K59" s="9"/>
      <c r="L59" s="8"/>
      <c r="M59" s="5"/>
      <c r="N59" s="5"/>
    </row>
    <row r="60" spans="1:14" ht="12.5" x14ac:dyDescent="0.25">
      <c r="B60" s="7"/>
      <c r="C60" s="8"/>
      <c r="D60" s="8"/>
      <c r="E60" s="8"/>
      <c r="F60" s="8"/>
      <c r="G60" s="8"/>
      <c r="H60" s="8"/>
      <c r="I60" s="8"/>
      <c r="J60" s="8"/>
      <c r="K60" s="8"/>
      <c r="L60" s="8"/>
      <c r="M60" s="5"/>
      <c r="N60" s="5"/>
    </row>
    <row r="61" spans="1:14" ht="12.5" x14ac:dyDescent="0.25">
      <c r="B61" s="7"/>
      <c r="C61" s="5"/>
      <c r="D61" s="8"/>
      <c r="E61" s="5"/>
      <c r="F61" s="8"/>
      <c r="G61" s="5"/>
      <c r="H61" s="8"/>
      <c r="I61" s="5"/>
      <c r="J61" s="8"/>
      <c r="K61" s="5"/>
      <c r="L61" s="8"/>
      <c r="M61" s="5"/>
      <c r="N61" s="5"/>
    </row>
    <row r="62" spans="1:14" ht="12.5" x14ac:dyDescent="0.25">
      <c r="B62" s="3"/>
    </row>
    <row r="63" spans="1:14" ht="12.5" x14ac:dyDescent="0.25">
      <c r="B63" s="3"/>
    </row>
    <row r="64" spans="1:14" ht="12.5" x14ac:dyDescent="0.25">
      <c r="B64" s="3"/>
    </row>
    <row r="65" spans="2:14" ht="12.5" x14ac:dyDescent="0.25">
      <c r="B65" s="3"/>
    </row>
    <row r="66" spans="2:14" ht="12.5" x14ac:dyDescent="0.25">
      <c r="B66" s="3"/>
    </row>
    <row r="67" spans="2:14" ht="12.5" x14ac:dyDescent="0.25">
      <c r="B67" s="7"/>
      <c r="C67" s="8"/>
      <c r="D67" s="8"/>
      <c r="E67" s="8"/>
      <c r="F67" s="8"/>
      <c r="G67" s="8"/>
      <c r="H67" s="8"/>
      <c r="I67" s="8"/>
      <c r="J67" s="8"/>
      <c r="K67" s="8"/>
      <c r="L67" s="8"/>
      <c r="M67" s="5"/>
      <c r="N67" s="5"/>
    </row>
    <row r="68" spans="2:14" ht="12.5" x14ac:dyDescent="0.25">
      <c r="B68" s="7"/>
      <c r="C68" s="8"/>
      <c r="D68" s="8"/>
      <c r="E68" s="8"/>
      <c r="F68" s="8"/>
      <c r="G68" s="8"/>
      <c r="H68" s="8"/>
      <c r="I68" s="8"/>
      <c r="J68" s="8"/>
      <c r="K68" s="8"/>
      <c r="L68" s="8"/>
      <c r="M68" s="5"/>
      <c r="N68" s="5"/>
    </row>
    <row r="69" spans="2:14" ht="12.5" x14ac:dyDescent="0.25">
      <c r="B69" s="7"/>
      <c r="C69" s="8"/>
      <c r="D69" s="8"/>
      <c r="E69" s="8"/>
      <c r="F69" s="8"/>
      <c r="G69" s="8"/>
      <c r="H69" s="8"/>
      <c r="I69" s="8"/>
      <c r="J69" s="8"/>
      <c r="K69" s="8"/>
      <c r="L69" s="8"/>
      <c r="M69" s="5"/>
      <c r="N69" s="5"/>
    </row>
    <row r="70" spans="2:14" ht="12.5" x14ac:dyDescent="0.25">
      <c r="B70" s="7"/>
      <c r="C70" s="5"/>
      <c r="D70" s="8"/>
      <c r="E70" s="5"/>
      <c r="F70" s="8"/>
      <c r="G70" s="5"/>
      <c r="H70" s="8"/>
      <c r="I70" s="5"/>
      <c r="J70" s="8"/>
      <c r="K70" s="5"/>
      <c r="L70" s="8"/>
      <c r="M70" s="5"/>
      <c r="N70" s="5"/>
    </row>
    <row r="71" spans="2:14" ht="12.5" x14ac:dyDescent="0.25">
      <c r="B71" s="7"/>
      <c r="C71" s="8"/>
      <c r="D71" s="8"/>
      <c r="E71" s="8"/>
      <c r="F71" s="8"/>
      <c r="G71" s="8"/>
      <c r="H71" s="8"/>
      <c r="I71" s="8"/>
      <c r="J71" s="8"/>
      <c r="K71" s="8"/>
      <c r="L71" s="8"/>
      <c r="M71" s="5"/>
      <c r="N71" s="5"/>
    </row>
    <row r="178" spans="2:10" ht="12.5" x14ac:dyDescent="0.25">
      <c r="B178" s="3"/>
      <c r="D178" s="10"/>
      <c r="F178" s="10"/>
      <c r="H178" s="10"/>
      <c r="J178" s="10"/>
    </row>
    <row r="179" spans="2:10" ht="12.5" x14ac:dyDescent="0.25">
      <c r="B179" s="3"/>
      <c r="D179" s="10"/>
      <c r="F179" s="10"/>
      <c r="H179" s="10"/>
      <c r="J179" s="10"/>
    </row>
    <row r="180" spans="2:10" ht="12.5" x14ac:dyDescent="0.25">
      <c r="B180" s="3"/>
      <c r="D180" s="10"/>
      <c r="F180" s="10"/>
      <c r="H180" s="10"/>
      <c r="J180" s="10"/>
    </row>
    <row r="181" spans="2:10" ht="12.5" x14ac:dyDescent="0.25">
      <c r="B181" s="3"/>
      <c r="D181" s="10"/>
      <c r="F181" s="10"/>
      <c r="H181" s="10"/>
      <c r="J181" s="10"/>
    </row>
    <row r="182" spans="2:10" ht="12.5" x14ac:dyDescent="0.25">
      <c r="B182" s="3"/>
      <c r="D182" s="10"/>
      <c r="F182" s="10"/>
      <c r="H182" s="10"/>
      <c r="J182" s="10"/>
    </row>
    <row r="183" spans="2:10" ht="12.5" x14ac:dyDescent="0.25">
      <c r="B183" s="3"/>
      <c r="D183" s="10"/>
      <c r="F183" s="10"/>
      <c r="H183" s="10"/>
      <c r="J183" s="10"/>
    </row>
    <row r="184" spans="2:10" ht="12.5" x14ac:dyDescent="0.25">
      <c r="B184" s="3"/>
      <c r="D184" s="10"/>
      <c r="F184" s="10"/>
      <c r="H184" s="10"/>
      <c r="J184" s="10"/>
    </row>
    <row r="185" spans="2:10" ht="12.5" x14ac:dyDescent="0.25">
      <c r="B185" s="3"/>
      <c r="D185" s="10"/>
      <c r="F185" s="10"/>
      <c r="H185" s="10"/>
      <c r="J185" s="10"/>
    </row>
    <row r="186" spans="2:10" ht="12.5" x14ac:dyDescent="0.25">
      <c r="B186" s="3"/>
      <c r="D186" s="10"/>
      <c r="F186" s="10"/>
      <c r="H186" s="10"/>
      <c r="J186" s="10"/>
    </row>
    <row r="187" spans="2:10" ht="12.5" x14ac:dyDescent="0.25">
      <c r="B187" s="3"/>
      <c r="D187" s="10"/>
      <c r="F187" s="10"/>
      <c r="H187" s="10"/>
      <c r="J187" s="10"/>
    </row>
    <row r="188" spans="2:10" ht="12.5" x14ac:dyDescent="0.25">
      <c r="B188" s="3"/>
      <c r="D188" s="10"/>
      <c r="F188" s="10"/>
      <c r="H188" s="10"/>
      <c r="J188" s="10"/>
    </row>
    <row r="189" spans="2:10" ht="12.5" x14ac:dyDescent="0.25">
      <c r="B189" s="3"/>
      <c r="D189" s="10"/>
      <c r="F189" s="10"/>
      <c r="H189" s="10"/>
      <c r="J189" s="10"/>
    </row>
    <row r="190" spans="2:10" ht="12.5" x14ac:dyDescent="0.25">
      <c r="B190" s="3"/>
      <c r="D190" s="10"/>
      <c r="F190" s="10"/>
      <c r="H190" s="10"/>
      <c r="J190" s="10"/>
    </row>
    <row r="191" spans="2:10" ht="12.5" x14ac:dyDescent="0.25">
      <c r="B191" s="3"/>
      <c r="D191" s="10"/>
      <c r="F191" s="10"/>
      <c r="H191" s="10"/>
      <c r="J191" s="10"/>
    </row>
    <row r="192" spans="2:10" ht="12.5" x14ac:dyDescent="0.25">
      <c r="B192" s="3"/>
      <c r="D192" s="10"/>
      <c r="F192" s="10"/>
      <c r="H192" s="10"/>
      <c r="J192" s="10"/>
    </row>
    <row r="193" spans="2:10" ht="12.5" x14ac:dyDescent="0.25">
      <c r="B193" s="3"/>
      <c r="D193" s="10"/>
      <c r="F193" s="10"/>
      <c r="H193" s="10"/>
      <c r="J193" s="10"/>
    </row>
    <row r="194" spans="2:10" ht="12.5" x14ac:dyDescent="0.25">
      <c r="B194" s="3"/>
      <c r="D194" s="10"/>
      <c r="F194" s="10"/>
      <c r="H194" s="10"/>
      <c r="J194" s="10"/>
    </row>
    <row r="195" spans="2:10" ht="12.5" x14ac:dyDescent="0.25">
      <c r="B195" s="3"/>
      <c r="D195" s="10"/>
      <c r="F195" s="10"/>
      <c r="H195" s="10"/>
      <c r="J195" s="10"/>
    </row>
    <row r="196" spans="2:10" ht="12.5" x14ac:dyDescent="0.25">
      <c r="B196" s="3"/>
      <c r="D196" s="10"/>
      <c r="F196" s="10"/>
      <c r="H196" s="10"/>
      <c r="J196" s="10"/>
    </row>
    <row r="197" spans="2:10" ht="12.5" x14ac:dyDescent="0.25">
      <c r="B197" s="3"/>
      <c r="D197" s="10"/>
      <c r="F197" s="10"/>
      <c r="H197" s="10"/>
      <c r="J197" s="10"/>
    </row>
    <row r="198" spans="2:10" ht="12.5" x14ac:dyDescent="0.25">
      <c r="B198" s="3"/>
      <c r="D198" s="10"/>
      <c r="F198" s="10"/>
      <c r="H198" s="10"/>
      <c r="J198" s="10"/>
    </row>
    <row r="199" spans="2:10" ht="12.5" x14ac:dyDescent="0.25">
      <c r="B199" s="3"/>
      <c r="D199" s="10"/>
      <c r="F199" s="10"/>
      <c r="H199" s="10"/>
      <c r="J199" s="10"/>
    </row>
    <row r="200" spans="2:10" ht="12.5" x14ac:dyDescent="0.25">
      <c r="B200" s="3"/>
      <c r="D200" s="10"/>
      <c r="F200" s="10"/>
      <c r="H200" s="10"/>
      <c r="J200" s="10"/>
    </row>
    <row r="201" spans="2:10" ht="12.5" x14ac:dyDescent="0.25">
      <c r="B201" s="3"/>
      <c r="D201" s="10"/>
      <c r="F201" s="10"/>
      <c r="H201" s="10"/>
      <c r="J201" s="10"/>
    </row>
    <row r="202" spans="2:10" ht="12.5" x14ac:dyDescent="0.25">
      <c r="B202" s="3"/>
      <c r="D202" s="10"/>
      <c r="F202" s="10"/>
      <c r="H202" s="10"/>
      <c r="J202" s="10"/>
    </row>
    <row r="203" spans="2:10" ht="12.5" x14ac:dyDescent="0.25">
      <c r="B203" s="3"/>
      <c r="D203" s="10"/>
      <c r="F203" s="10"/>
      <c r="H203" s="10"/>
      <c r="J203" s="10"/>
    </row>
    <row r="204" spans="2:10" ht="12.5" x14ac:dyDescent="0.25">
      <c r="B204" s="3"/>
      <c r="D204" s="10"/>
      <c r="F204" s="10"/>
      <c r="H204" s="10"/>
      <c r="J204" s="10"/>
    </row>
    <row r="205" spans="2:10" ht="12.5" x14ac:dyDescent="0.25">
      <c r="B205" s="3"/>
      <c r="D205" s="10"/>
      <c r="F205" s="10"/>
      <c r="H205" s="10"/>
      <c r="J205" s="10"/>
    </row>
    <row r="206" spans="2:10" ht="12.5" x14ac:dyDescent="0.25">
      <c r="B206" s="3"/>
      <c r="D206" s="10"/>
      <c r="F206" s="10"/>
      <c r="H206" s="10"/>
      <c r="J206" s="10"/>
    </row>
    <row r="207" spans="2:10" ht="12.5" x14ac:dyDescent="0.25">
      <c r="B207" s="3"/>
      <c r="D207" s="10"/>
      <c r="F207" s="10"/>
      <c r="H207" s="10"/>
      <c r="J207" s="10"/>
    </row>
    <row r="208" spans="2:10" ht="12.5" x14ac:dyDescent="0.25">
      <c r="B208" s="3"/>
      <c r="D208" s="10"/>
      <c r="F208" s="10"/>
      <c r="H208" s="10"/>
      <c r="J208" s="10"/>
    </row>
    <row r="209" spans="2:10" ht="12.5" x14ac:dyDescent="0.25">
      <c r="B209" s="3"/>
      <c r="D209" s="10"/>
      <c r="F209" s="10"/>
      <c r="H209" s="10"/>
      <c r="J209" s="10"/>
    </row>
    <row r="210" spans="2:10" ht="12.5" x14ac:dyDescent="0.25">
      <c r="B210" s="3"/>
      <c r="D210" s="10"/>
      <c r="F210" s="10"/>
      <c r="H210" s="10"/>
      <c r="J210" s="10"/>
    </row>
    <row r="211" spans="2:10" ht="12.5" x14ac:dyDescent="0.25">
      <c r="B211" s="3"/>
      <c r="D211" s="10"/>
      <c r="F211" s="10"/>
      <c r="H211" s="10"/>
      <c r="J211" s="10"/>
    </row>
    <row r="212" spans="2:10" ht="12.5" x14ac:dyDescent="0.25">
      <c r="B212" s="3"/>
      <c r="D212" s="10"/>
      <c r="F212" s="10"/>
      <c r="H212" s="10"/>
      <c r="J212" s="10"/>
    </row>
    <row r="213" spans="2:10" ht="12.5" x14ac:dyDescent="0.25">
      <c r="B213" s="3"/>
      <c r="D213" s="10"/>
      <c r="F213" s="10"/>
      <c r="H213" s="10"/>
      <c r="J213" s="10"/>
    </row>
    <row r="214" spans="2:10" ht="12.5" x14ac:dyDescent="0.25">
      <c r="B214" s="3"/>
      <c r="D214" s="10"/>
      <c r="F214" s="10"/>
      <c r="H214" s="10"/>
      <c r="J214" s="10"/>
    </row>
    <row r="215" spans="2:10" ht="12.5" x14ac:dyDescent="0.25">
      <c r="B215" s="3"/>
      <c r="D215" s="10"/>
      <c r="F215" s="10"/>
      <c r="H215" s="10"/>
      <c r="J215" s="10"/>
    </row>
    <row r="216" spans="2:10" ht="12.5" x14ac:dyDescent="0.25">
      <c r="B216" s="3"/>
      <c r="D216" s="10"/>
      <c r="F216" s="10"/>
      <c r="H216" s="10"/>
      <c r="J216" s="10"/>
    </row>
    <row r="217" spans="2:10" ht="12.5" x14ac:dyDescent="0.25">
      <c r="B217" s="3"/>
      <c r="D217" s="10"/>
      <c r="F217" s="10"/>
      <c r="H217" s="10"/>
      <c r="J217" s="10"/>
    </row>
    <row r="218" spans="2:10" ht="12.5" x14ac:dyDescent="0.25">
      <c r="B218" s="3"/>
      <c r="D218" s="10"/>
      <c r="F218" s="10"/>
      <c r="H218" s="10"/>
      <c r="J218" s="10"/>
    </row>
    <row r="219" spans="2:10" ht="12.5" x14ac:dyDescent="0.25">
      <c r="B219" s="3"/>
      <c r="D219" s="10"/>
      <c r="F219" s="10"/>
      <c r="H219" s="10"/>
      <c r="J219" s="10"/>
    </row>
    <row r="220" spans="2:10" ht="12.5" x14ac:dyDescent="0.25">
      <c r="B220" s="3"/>
      <c r="D220" s="10"/>
      <c r="F220" s="10"/>
      <c r="H220" s="10"/>
      <c r="J220" s="10"/>
    </row>
    <row r="221" spans="2:10" ht="12.5" x14ac:dyDescent="0.25">
      <c r="B221" s="3"/>
      <c r="D221" s="10"/>
      <c r="F221" s="10"/>
      <c r="H221" s="10"/>
      <c r="J221" s="10"/>
    </row>
    <row r="222" spans="2:10" ht="12.5" x14ac:dyDescent="0.25">
      <c r="B222" s="3"/>
      <c r="D222" s="10"/>
      <c r="F222" s="10"/>
      <c r="H222" s="10"/>
      <c r="J222" s="10"/>
    </row>
    <row r="223" spans="2:10" ht="12.5" x14ac:dyDescent="0.25">
      <c r="B223" s="3"/>
      <c r="D223" s="10"/>
      <c r="F223" s="10"/>
      <c r="H223" s="10"/>
      <c r="J223" s="10"/>
    </row>
    <row r="224" spans="2:10" ht="12.5" x14ac:dyDescent="0.25">
      <c r="B224" s="3"/>
      <c r="D224" s="10"/>
      <c r="F224" s="10"/>
      <c r="H224" s="10"/>
      <c r="J224" s="10"/>
    </row>
    <row r="225" spans="2:10" ht="12.5" x14ac:dyDescent="0.25">
      <c r="B225" s="3"/>
      <c r="D225" s="10"/>
      <c r="F225" s="10"/>
      <c r="H225" s="10"/>
      <c r="J225" s="10"/>
    </row>
    <row r="226" spans="2:10" ht="12.5" x14ac:dyDescent="0.25">
      <c r="B226" s="3"/>
      <c r="D226" s="10"/>
      <c r="F226" s="10"/>
      <c r="H226" s="10"/>
      <c r="J226" s="10"/>
    </row>
    <row r="227" spans="2:10" ht="12.5" x14ac:dyDescent="0.25">
      <c r="B227" s="3"/>
      <c r="D227" s="10"/>
      <c r="F227" s="10"/>
      <c r="H227" s="10"/>
      <c r="J227" s="10"/>
    </row>
    <row r="228" spans="2:10" ht="12.5" x14ac:dyDescent="0.25">
      <c r="B228" s="3"/>
      <c r="D228" s="10"/>
      <c r="F228" s="10"/>
      <c r="H228" s="10"/>
      <c r="J228" s="10"/>
    </row>
    <row r="229" spans="2:10" ht="12.5" x14ac:dyDescent="0.25">
      <c r="B229" s="3"/>
      <c r="D229" s="10"/>
      <c r="F229" s="10"/>
      <c r="H229" s="10"/>
      <c r="J229" s="10"/>
    </row>
    <row r="230" spans="2:10" ht="12.5" x14ac:dyDescent="0.25">
      <c r="B230" s="3"/>
      <c r="D230" s="10"/>
      <c r="F230" s="10"/>
      <c r="H230" s="10"/>
      <c r="J230" s="10"/>
    </row>
    <row r="231" spans="2:10" ht="12.5" x14ac:dyDescent="0.25">
      <c r="B231" s="3"/>
      <c r="D231" s="10"/>
      <c r="F231" s="10"/>
      <c r="H231" s="10"/>
      <c r="J231" s="10"/>
    </row>
    <row r="232" spans="2:10" ht="12.5" x14ac:dyDescent="0.25">
      <c r="B232" s="3"/>
      <c r="D232" s="10"/>
      <c r="F232" s="10"/>
      <c r="H232" s="10"/>
      <c r="J232" s="10"/>
    </row>
    <row r="233" spans="2:10" ht="12.5" x14ac:dyDescent="0.25">
      <c r="B233" s="3"/>
      <c r="D233" s="10"/>
      <c r="F233" s="10"/>
      <c r="H233" s="10"/>
      <c r="J233" s="10"/>
    </row>
    <row r="234" spans="2:10" ht="12.5" x14ac:dyDescent="0.25">
      <c r="B234" s="3"/>
      <c r="D234" s="10"/>
      <c r="F234" s="10"/>
      <c r="H234" s="10"/>
      <c r="J234" s="10"/>
    </row>
    <row r="235" spans="2:10" ht="12.5" x14ac:dyDescent="0.25">
      <c r="B235" s="3"/>
      <c r="D235" s="10"/>
      <c r="F235" s="10"/>
      <c r="H235" s="10"/>
      <c r="J235" s="10"/>
    </row>
    <row r="236" spans="2:10" ht="12.5" x14ac:dyDescent="0.25">
      <c r="B236" s="3"/>
      <c r="D236" s="10"/>
      <c r="F236" s="10"/>
      <c r="H236" s="10"/>
      <c r="J236" s="10"/>
    </row>
    <row r="237" spans="2:10" ht="12.5" x14ac:dyDescent="0.25">
      <c r="B237" s="3"/>
      <c r="D237" s="10"/>
      <c r="F237" s="10"/>
      <c r="H237" s="10"/>
      <c r="J237" s="10"/>
    </row>
    <row r="238" spans="2:10" ht="12.5" x14ac:dyDescent="0.25">
      <c r="B238" s="3"/>
      <c r="D238" s="10"/>
      <c r="F238" s="10"/>
      <c r="H238" s="10"/>
      <c r="J238" s="10"/>
    </row>
    <row r="239" spans="2:10" ht="12.5" x14ac:dyDescent="0.25">
      <c r="B239" s="3"/>
      <c r="D239" s="10"/>
      <c r="F239" s="10"/>
      <c r="H239" s="10"/>
      <c r="J239" s="10"/>
    </row>
    <row r="240" spans="2:10" ht="12.5" x14ac:dyDescent="0.25">
      <c r="B240" s="3"/>
      <c r="D240" s="10"/>
      <c r="F240" s="10"/>
      <c r="H240" s="10"/>
      <c r="J240" s="10"/>
    </row>
    <row r="241" spans="2:10" ht="12.5" x14ac:dyDescent="0.25">
      <c r="B241" s="3"/>
      <c r="D241" s="10"/>
      <c r="F241" s="10"/>
      <c r="H241" s="10"/>
      <c r="J241" s="10"/>
    </row>
    <row r="242" spans="2:10" ht="12.5" x14ac:dyDescent="0.25">
      <c r="B242" s="3"/>
      <c r="D242" s="10"/>
      <c r="F242" s="10"/>
      <c r="H242" s="10"/>
      <c r="J242" s="10"/>
    </row>
    <row r="243" spans="2:10" ht="12.5" x14ac:dyDescent="0.25">
      <c r="B243" s="3"/>
      <c r="D243" s="10"/>
      <c r="F243" s="10"/>
      <c r="H243" s="10"/>
      <c r="J243" s="10"/>
    </row>
    <row r="244" spans="2:10" ht="12.5" x14ac:dyDescent="0.25">
      <c r="B244" s="3"/>
      <c r="D244" s="10"/>
      <c r="F244" s="10"/>
      <c r="H244" s="10"/>
      <c r="J244" s="10"/>
    </row>
    <row r="245" spans="2:10" ht="12.5" x14ac:dyDescent="0.25">
      <c r="B245" s="3"/>
      <c r="D245" s="10"/>
      <c r="F245" s="10"/>
      <c r="H245" s="10"/>
      <c r="J245" s="10"/>
    </row>
    <row r="246" spans="2:10" ht="12.5" x14ac:dyDescent="0.25">
      <c r="B246" s="3"/>
      <c r="D246" s="10"/>
      <c r="F246" s="10"/>
      <c r="H246" s="10"/>
      <c r="J246" s="10"/>
    </row>
    <row r="247" spans="2:10" ht="12.5" x14ac:dyDescent="0.25">
      <c r="B247" s="3"/>
      <c r="D247" s="10"/>
      <c r="F247" s="10"/>
      <c r="H247" s="10"/>
      <c r="J247" s="10"/>
    </row>
    <row r="248" spans="2:10" ht="12.5" x14ac:dyDescent="0.25">
      <c r="B248" s="3"/>
      <c r="D248" s="10"/>
      <c r="F248" s="10"/>
      <c r="H248" s="10"/>
      <c r="J248" s="10"/>
    </row>
    <row r="249" spans="2:10" ht="12.5" x14ac:dyDescent="0.25">
      <c r="B249" s="3"/>
      <c r="D249" s="10"/>
      <c r="F249" s="10"/>
      <c r="H249" s="10"/>
      <c r="J249" s="10"/>
    </row>
    <row r="250" spans="2:10" ht="12.5" x14ac:dyDescent="0.25">
      <c r="B250" s="3"/>
      <c r="D250" s="10"/>
      <c r="F250" s="10"/>
      <c r="H250" s="10"/>
      <c r="J250" s="10"/>
    </row>
    <row r="251" spans="2:10" ht="12.5" x14ac:dyDescent="0.25">
      <c r="B251" s="3"/>
      <c r="D251" s="10"/>
      <c r="F251" s="10"/>
      <c r="H251" s="10"/>
      <c r="J251" s="10"/>
    </row>
    <row r="252" spans="2:10" ht="12.5" x14ac:dyDescent="0.25">
      <c r="B252" s="3"/>
      <c r="D252" s="10"/>
      <c r="F252" s="10"/>
      <c r="H252" s="10"/>
      <c r="J252" s="10"/>
    </row>
    <row r="253" spans="2:10" ht="12.5" x14ac:dyDescent="0.25">
      <c r="B253" s="3"/>
      <c r="D253" s="10"/>
      <c r="F253" s="10"/>
      <c r="H253" s="10"/>
      <c r="J253" s="10"/>
    </row>
    <row r="254" spans="2:10" ht="12.5" x14ac:dyDescent="0.25">
      <c r="B254" s="3"/>
      <c r="D254" s="10"/>
      <c r="F254" s="10"/>
      <c r="H254" s="10"/>
      <c r="J254" s="10"/>
    </row>
    <row r="255" spans="2:10" ht="12.5" x14ac:dyDescent="0.25">
      <c r="B255" s="3"/>
      <c r="D255" s="10"/>
      <c r="F255" s="10"/>
      <c r="H255" s="10"/>
      <c r="J255" s="10"/>
    </row>
    <row r="256" spans="2:10" ht="12.5" x14ac:dyDescent="0.25">
      <c r="B256" s="3"/>
      <c r="D256" s="10"/>
      <c r="F256" s="10"/>
      <c r="H256" s="10"/>
      <c r="J256" s="10"/>
    </row>
    <row r="257" spans="2:10" ht="12.5" x14ac:dyDescent="0.25">
      <c r="B257" s="3"/>
      <c r="D257" s="10"/>
      <c r="F257" s="10"/>
      <c r="H257" s="10"/>
      <c r="J257" s="10"/>
    </row>
    <row r="258" spans="2:10" ht="12.5" x14ac:dyDescent="0.25">
      <c r="B258" s="3"/>
      <c r="D258" s="10"/>
      <c r="F258" s="10"/>
      <c r="H258" s="10"/>
      <c r="J258" s="10"/>
    </row>
    <row r="259" spans="2:10" ht="12.5" x14ac:dyDescent="0.25">
      <c r="B259" s="3"/>
      <c r="D259" s="10"/>
      <c r="F259" s="10"/>
      <c r="H259" s="10"/>
      <c r="J259" s="10"/>
    </row>
    <row r="260" spans="2:10" ht="12.5" x14ac:dyDescent="0.25">
      <c r="B260" s="3"/>
      <c r="D260" s="10"/>
      <c r="F260" s="10"/>
      <c r="H260" s="10"/>
      <c r="J260" s="10"/>
    </row>
    <row r="261" spans="2:10" ht="12.5" x14ac:dyDescent="0.25">
      <c r="B261" s="3"/>
      <c r="D261" s="10"/>
      <c r="F261" s="10"/>
      <c r="H261" s="10"/>
      <c r="J261" s="10"/>
    </row>
    <row r="262" spans="2:10" ht="12.5" x14ac:dyDescent="0.25">
      <c r="B262" s="3"/>
      <c r="D262" s="10"/>
      <c r="F262" s="10"/>
      <c r="H262" s="10"/>
      <c r="J262" s="10"/>
    </row>
    <row r="263" spans="2:10" ht="12.5" x14ac:dyDescent="0.25">
      <c r="B263" s="3"/>
      <c r="D263" s="10"/>
      <c r="F263" s="10"/>
      <c r="H263" s="10"/>
      <c r="J263" s="10"/>
    </row>
    <row r="264" spans="2:10" ht="12.5" x14ac:dyDescent="0.25">
      <c r="B264" s="3"/>
      <c r="D264" s="10"/>
      <c r="F264" s="10"/>
      <c r="H264" s="10"/>
      <c r="J264" s="10"/>
    </row>
    <row r="265" spans="2:10" ht="12.5" x14ac:dyDescent="0.25">
      <c r="B265" s="3"/>
      <c r="D265" s="10"/>
      <c r="F265" s="10"/>
      <c r="H265" s="10"/>
      <c r="J265" s="10"/>
    </row>
    <row r="266" spans="2:10" ht="12.5" x14ac:dyDescent="0.25">
      <c r="B266" s="3"/>
      <c r="D266" s="10"/>
      <c r="F266" s="10"/>
      <c r="H266" s="10"/>
      <c r="J266" s="10"/>
    </row>
    <row r="267" spans="2:10" ht="12.5" x14ac:dyDescent="0.25">
      <c r="B267" s="3"/>
      <c r="D267" s="10"/>
      <c r="F267" s="10"/>
      <c r="H267" s="10"/>
      <c r="J267" s="10"/>
    </row>
    <row r="268" spans="2:10" ht="12.5" x14ac:dyDescent="0.25">
      <c r="B268" s="3"/>
      <c r="D268" s="10"/>
      <c r="F268" s="10"/>
      <c r="H268" s="10"/>
      <c r="J268" s="10"/>
    </row>
    <row r="269" spans="2:10" ht="12.5" x14ac:dyDescent="0.25">
      <c r="B269" s="3"/>
      <c r="D269" s="10"/>
      <c r="F269" s="10"/>
      <c r="H269" s="10"/>
      <c r="J269" s="10"/>
    </row>
    <row r="270" spans="2:10" ht="12.5" x14ac:dyDescent="0.25">
      <c r="B270" s="3"/>
      <c r="D270" s="10"/>
      <c r="F270" s="10"/>
      <c r="H270" s="10"/>
      <c r="J270" s="10"/>
    </row>
    <row r="271" spans="2:10" ht="12.5" x14ac:dyDescent="0.25">
      <c r="B271" s="3"/>
      <c r="D271" s="10"/>
      <c r="F271" s="10"/>
      <c r="H271" s="10"/>
      <c r="J271" s="10"/>
    </row>
    <row r="272" spans="2:10" ht="12.5" x14ac:dyDescent="0.25">
      <c r="B272" s="3"/>
      <c r="D272" s="10"/>
      <c r="F272" s="10"/>
      <c r="H272" s="10"/>
      <c r="J272" s="10"/>
    </row>
    <row r="273" spans="2:10" ht="12.5" x14ac:dyDescent="0.25">
      <c r="B273" s="3"/>
      <c r="D273" s="10"/>
      <c r="F273" s="10"/>
      <c r="H273" s="10"/>
      <c r="J273" s="10"/>
    </row>
    <row r="274" spans="2:10" ht="12.5" x14ac:dyDescent="0.25">
      <c r="B274" s="3"/>
      <c r="D274" s="10"/>
      <c r="F274" s="10"/>
      <c r="H274" s="10"/>
      <c r="J274" s="10"/>
    </row>
    <row r="275" spans="2:10" ht="12.5" x14ac:dyDescent="0.25">
      <c r="B275" s="3"/>
      <c r="D275" s="10"/>
      <c r="F275" s="10"/>
      <c r="H275" s="10"/>
      <c r="J275" s="10"/>
    </row>
    <row r="276" spans="2:10" ht="12.5" x14ac:dyDescent="0.25">
      <c r="B276" s="3"/>
      <c r="D276" s="10"/>
      <c r="F276" s="10"/>
      <c r="H276" s="10"/>
      <c r="J276" s="10"/>
    </row>
    <row r="277" spans="2:10" ht="12.5" x14ac:dyDescent="0.25">
      <c r="B277" s="3"/>
      <c r="D277" s="10"/>
      <c r="F277" s="10"/>
      <c r="H277" s="10"/>
      <c r="J277" s="10"/>
    </row>
    <row r="278" spans="2:10" ht="12.5" x14ac:dyDescent="0.25">
      <c r="B278" s="3"/>
      <c r="D278" s="10"/>
      <c r="F278" s="10"/>
      <c r="H278" s="10"/>
      <c r="J278" s="10"/>
    </row>
    <row r="279" spans="2:10" ht="12.5" x14ac:dyDescent="0.25">
      <c r="B279" s="3"/>
      <c r="D279" s="10"/>
      <c r="F279" s="10"/>
      <c r="H279" s="10"/>
      <c r="J279" s="10"/>
    </row>
    <row r="280" spans="2:10" ht="12.5" x14ac:dyDescent="0.25">
      <c r="B280" s="3"/>
      <c r="D280" s="10"/>
      <c r="F280" s="10"/>
      <c r="H280" s="10"/>
      <c r="J280" s="10"/>
    </row>
    <row r="281" spans="2:10" ht="12.5" x14ac:dyDescent="0.25">
      <c r="B281" s="3"/>
      <c r="D281" s="10"/>
      <c r="F281" s="10"/>
      <c r="H281" s="10"/>
      <c r="J281" s="10"/>
    </row>
    <row r="282" spans="2:10" ht="12.5" x14ac:dyDescent="0.25">
      <c r="B282" s="3"/>
      <c r="D282" s="10"/>
      <c r="F282" s="10"/>
      <c r="H282" s="10"/>
      <c r="J282" s="10"/>
    </row>
    <row r="283" spans="2:10" ht="12.5" x14ac:dyDescent="0.25">
      <c r="B283" s="3"/>
      <c r="D283" s="10"/>
      <c r="F283" s="10"/>
      <c r="H283" s="10"/>
      <c r="J283" s="10"/>
    </row>
    <row r="284" spans="2:10" ht="12.5" x14ac:dyDescent="0.25">
      <c r="B284" s="3"/>
      <c r="D284" s="10"/>
      <c r="F284" s="10"/>
      <c r="H284" s="10"/>
      <c r="J284" s="10"/>
    </row>
    <row r="285" spans="2:10" ht="12.5" x14ac:dyDescent="0.25">
      <c r="B285" s="3"/>
      <c r="D285" s="10"/>
      <c r="F285" s="10"/>
      <c r="H285" s="10"/>
      <c r="J285" s="10"/>
    </row>
    <row r="286" spans="2:10" ht="12.5" x14ac:dyDescent="0.25">
      <c r="B286" s="3"/>
      <c r="D286" s="10"/>
      <c r="F286" s="10"/>
      <c r="H286" s="10"/>
      <c r="J286" s="10"/>
    </row>
    <row r="287" spans="2:10" ht="12.5" x14ac:dyDescent="0.25">
      <c r="B287" s="3"/>
      <c r="D287" s="10"/>
      <c r="F287" s="10"/>
      <c r="H287" s="10"/>
      <c r="J287" s="10"/>
    </row>
    <row r="288" spans="2:10" ht="12.5" x14ac:dyDescent="0.25">
      <c r="B288" s="3"/>
      <c r="D288" s="10"/>
      <c r="F288" s="10"/>
      <c r="H288" s="10"/>
      <c r="J288" s="10"/>
    </row>
    <row r="289" spans="2:10" ht="12.5" x14ac:dyDescent="0.25">
      <c r="B289" s="3"/>
      <c r="D289" s="10"/>
      <c r="F289" s="10"/>
      <c r="H289" s="10"/>
      <c r="J289" s="10"/>
    </row>
    <row r="290" spans="2:10" ht="12.5" x14ac:dyDescent="0.25">
      <c r="B290" s="3"/>
      <c r="D290" s="10"/>
      <c r="F290" s="10"/>
      <c r="H290" s="10"/>
      <c r="J290" s="10"/>
    </row>
    <row r="291" spans="2:10" ht="12.5" x14ac:dyDescent="0.25">
      <c r="B291" s="3"/>
      <c r="D291" s="10"/>
      <c r="F291" s="10"/>
      <c r="H291" s="10"/>
      <c r="J291" s="10"/>
    </row>
    <row r="292" spans="2:10" ht="12.5" x14ac:dyDescent="0.25">
      <c r="B292" s="3"/>
      <c r="D292" s="10"/>
      <c r="F292" s="10"/>
      <c r="H292" s="10"/>
      <c r="J292" s="10"/>
    </row>
    <row r="293" spans="2:10" ht="12.5" x14ac:dyDescent="0.25">
      <c r="B293" s="3"/>
      <c r="D293" s="10"/>
      <c r="F293" s="10"/>
      <c r="H293" s="10"/>
      <c r="J293" s="10"/>
    </row>
    <row r="294" spans="2:10" ht="12.5" x14ac:dyDescent="0.25">
      <c r="B294" s="3"/>
      <c r="D294" s="10"/>
      <c r="F294" s="10"/>
      <c r="H294" s="10"/>
      <c r="J294" s="10"/>
    </row>
    <row r="295" spans="2:10" ht="12.5" x14ac:dyDescent="0.25">
      <c r="B295" s="3"/>
      <c r="D295" s="10"/>
      <c r="F295" s="10"/>
      <c r="H295" s="10"/>
      <c r="J295" s="10"/>
    </row>
    <row r="296" spans="2:10" ht="12.5" x14ac:dyDescent="0.25">
      <c r="B296" s="3"/>
      <c r="D296" s="10"/>
      <c r="F296" s="10"/>
      <c r="H296" s="10"/>
      <c r="J296" s="10"/>
    </row>
    <row r="297" spans="2:10" ht="12.5" x14ac:dyDescent="0.25">
      <c r="B297" s="3"/>
      <c r="D297" s="10"/>
      <c r="F297" s="10"/>
      <c r="H297" s="10"/>
      <c r="J297" s="10"/>
    </row>
    <row r="298" spans="2:10" ht="12.5" x14ac:dyDescent="0.25">
      <c r="B298" s="3"/>
      <c r="D298" s="10"/>
      <c r="F298" s="10"/>
      <c r="H298" s="10"/>
      <c r="J298" s="10"/>
    </row>
    <row r="299" spans="2:10" ht="12.5" x14ac:dyDescent="0.25">
      <c r="B299" s="3"/>
      <c r="D299" s="10"/>
      <c r="F299" s="10"/>
      <c r="H299" s="10"/>
      <c r="J299" s="10"/>
    </row>
    <row r="300" spans="2:10" ht="12.5" x14ac:dyDescent="0.25">
      <c r="B300" s="3"/>
      <c r="D300" s="10"/>
      <c r="F300" s="10"/>
      <c r="H300" s="10"/>
      <c r="J300" s="10"/>
    </row>
    <row r="301" spans="2:10" ht="12.5" x14ac:dyDescent="0.25">
      <c r="B301" s="3"/>
      <c r="D301" s="10"/>
      <c r="F301" s="10"/>
      <c r="H301" s="10"/>
      <c r="J301" s="10"/>
    </row>
    <row r="302" spans="2:10" ht="12.5" x14ac:dyDescent="0.25">
      <c r="B302" s="3"/>
      <c r="D302" s="10"/>
      <c r="F302" s="10"/>
      <c r="H302" s="10"/>
      <c r="J302" s="10"/>
    </row>
    <row r="303" spans="2:10" ht="12.5" x14ac:dyDescent="0.25">
      <c r="B303" s="3"/>
      <c r="D303" s="10"/>
      <c r="F303" s="10"/>
      <c r="H303" s="10"/>
      <c r="J303" s="10"/>
    </row>
    <row r="304" spans="2:10" ht="12.5" x14ac:dyDescent="0.25">
      <c r="B304" s="3"/>
      <c r="D304" s="10"/>
      <c r="F304" s="10"/>
      <c r="H304" s="10"/>
      <c r="J304" s="10"/>
    </row>
    <row r="305" spans="2:10" ht="12.5" x14ac:dyDescent="0.25">
      <c r="B305" s="3"/>
      <c r="D305" s="10"/>
      <c r="F305" s="10"/>
      <c r="H305" s="10"/>
      <c r="J305" s="10"/>
    </row>
    <row r="306" spans="2:10" ht="12.5" x14ac:dyDescent="0.25">
      <c r="B306" s="3"/>
      <c r="D306" s="10"/>
      <c r="F306" s="10"/>
      <c r="H306" s="10"/>
      <c r="J306" s="10"/>
    </row>
    <row r="307" spans="2:10" ht="12.5" x14ac:dyDescent="0.25">
      <c r="B307" s="3"/>
      <c r="D307" s="10"/>
      <c r="F307" s="10"/>
      <c r="H307" s="10"/>
      <c r="J307" s="10"/>
    </row>
    <row r="308" spans="2:10" ht="12.5" x14ac:dyDescent="0.25">
      <c r="B308" s="3"/>
      <c r="D308" s="10"/>
      <c r="F308" s="10"/>
      <c r="H308" s="10"/>
      <c r="J308" s="10"/>
    </row>
    <row r="309" spans="2:10" ht="12.5" x14ac:dyDescent="0.25">
      <c r="B309" s="3"/>
      <c r="D309" s="10"/>
      <c r="F309" s="10"/>
      <c r="H309" s="10"/>
      <c r="J309" s="10"/>
    </row>
    <row r="310" spans="2:10" ht="12.5" x14ac:dyDescent="0.25">
      <c r="B310" s="3"/>
      <c r="D310" s="10"/>
      <c r="F310" s="10"/>
      <c r="H310" s="10"/>
      <c r="J310" s="10"/>
    </row>
    <row r="311" spans="2:10" ht="12.5" x14ac:dyDescent="0.25">
      <c r="B311" s="3"/>
      <c r="D311" s="10"/>
      <c r="F311" s="10"/>
      <c r="H311" s="10"/>
      <c r="J311" s="10"/>
    </row>
    <row r="312" spans="2:10" ht="12.5" x14ac:dyDescent="0.25">
      <c r="B312" s="3"/>
      <c r="D312" s="10"/>
      <c r="F312" s="10"/>
      <c r="H312" s="10"/>
      <c r="J312" s="10"/>
    </row>
    <row r="313" spans="2:10" ht="12.5" x14ac:dyDescent="0.25">
      <c r="B313" s="3"/>
      <c r="D313" s="10"/>
      <c r="F313" s="10"/>
      <c r="H313" s="10"/>
      <c r="J313" s="10"/>
    </row>
    <row r="314" spans="2:10" ht="12.5" x14ac:dyDescent="0.25">
      <c r="B314" s="3"/>
      <c r="D314" s="10"/>
      <c r="F314" s="10"/>
      <c r="H314" s="10"/>
      <c r="J314" s="10"/>
    </row>
    <row r="315" spans="2:10" ht="12.5" x14ac:dyDescent="0.25">
      <c r="B315" s="3"/>
      <c r="D315" s="10"/>
      <c r="F315" s="10"/>
      <c r="H315" s="10"/>
      <c r="J315" s="10"/>
    </row>
    <row r="316" spans="2:10" ht="12.5" x14ac:dyDescent="0.25">
      <c r="B316" s="3"/>
      <c r="D316" s="10"/>
      <c r="F316" s="10"/>
      <c r="H316" s="10"/>
      <c r="J316" s="10"/>
    </row>
    <row r="317" spans="2:10" ht="12.5" x14ac:dyDescent="0.25">
      <c r="B317" s="3"/>
      <c r="D317" s="10"/>
      <c r="F317" s="10"/>
      <c r="H317" s="10"/>
      <c r="J317" s="10"/>
    </row>
    <row r="318" spans="2:10" ht="12.5" x14ac:dyDescent="0.25">
      <c r="B318" s="3"/>
      <c r="D318" s="10"/>
      <c r="F318" s="10"/>
      <c r="H318" s="10"/>
      <c r="J318" s="10"/>
    </row>
    <row r="319" spans="2:10" ht="12.5" x14ac:dyDescent="0.25">
      <c r="B319" s="3"/>
      <c r="D319" s="10"/>
      <c r="F319" s="10"/>
      <c r="H319" s="10"/>
      <c r="J319" s="10"/>
    </row>
    <row r="320" spans="2:10" ht="12.5" x14ac:dyDescent="0.25">
      <c r="B320" s="3"/>
      <c r="D320" s="10"/>
      <c r="F320" s="10"/>
      <c r="H320" s="10"/>
      <c r="J320" s="10"/>
    </row>
    <row r="321" spans="2:10" ht="12.5" x14ac:dyDescent="0.25">
      <c r="B321" s="3"/>
      <c r="D321" s="10"/>
      <c r="F321" s="10"/>
      <c r="H321" s="10"/>
      <c r="J321" s="10"/>
    </row>
    <row r="322" spans="2:10" ht="12.5" x14ac:dyDescent="0.25">
      <c r="B322" s="3"/>
      <c r="D322" s="10"/>
      <c r="F322" s="10"/>
      <c r="H322" s="10"/>
      <c r="J322" s="10"/>
    </row>
    <row r="323" spans="2:10" ht="12.5" x14ac:dyDescent="0.25">
      <c r="B323" s="3"/>
      <c r="D323" s="10"/>
      <c r="F323" s="10"/>
      <c r="H323" s="10"/>
      <c r="J323" s="10"/>
    </row>
    <row r="324" spans="2:10" ht="12.5" x14ac:dyDescent="0.25">
      <c r="B324" s="3"/>
      <c r="D324" s="10"/>
      <c r="F324" s="10"/>
      <c r="H324" s="10"/>
      <c r="J324" s="10"/>
    </row>
    <row r="325" spans="2:10" ht="12.5" x14ac:dyDescent="0.25">
      <c r="B325" s="3"/>
      <c r="D325" s="10"/>
      <c r="F325" s="10"/>
      <c r="H325" s="10"/>
      <c r="J325" s="10"/>
    </row>
    <row r="326" spans="2:10" ht="12.5" x14ac:dyDescent="0.25">
      <c r="B326" s="3"/>
      <c r="D326" s="10"/>
      <c r="F326" s="10"/>
      <c r="H326" s="10"/>
      <c r="J326" s="10"/>
    </row>
    <row r="327" spans="2:10" ht="12.5" x14ac:dyDescent="0.25">
      <c r="B327" s="3"/>
      <c r="D327" s="10"/>
      <c r="F327" s="10"/>
      <c r="H327" s="10"/>
      <c r="J327" s="10"/>
    </row>
    <row r="328" spans="2:10" ht="12.5" x14ac:dyDescent="0.25">
      <c r="B328" s="3"/>
      <c r="D328" s="10"/>
      <c r="F328" s="10"/>
      <c r="H328" s="10"/>
      <c r="J328" s="10"/>
    </row>
    <row r="329" spans="2:10" ht="12.5" x14ac:dyDescent="0.25">
      <c r="B329" s="3"/>
      <c r="D329" s="10"/>
      <c r="F329" s="10"/>
      <c r="H329" s="10"/>
      <c r="J329" s="10"/>
    </row>
    <row r="330" spans="2:10" ht="12.5" x14ac:dyDescent="0.25">
      <c r="B330" s="3"/>
      <c r="D330" s="10"/>
      <c r="F330" s="10"/>
      <c r="H330" s="10"/>
      <c r="J330" s="10"/>
    </row>
    <row r="331" spans="2:10" ht="12.5" x14ac:dyDescent="0.25">
      <c r="B331" s="3"/>
      <c r="D331" s="10"/>
      <c r="F331" s="10"/>
      <c r="H331" s="10"/>
      <c r="J331" s="10"/>
    </row>
    <row r="332" spans="2:10" ht="12.5" x14ac:dyDescent="0.25">
      <c r="B332" s="3"/>
      <c r="D332" s="10"/>
      <c r="F332" s="10"/>
      <c r="H332" s="10"/>
      <c r="J332" s="10"/>
    </row>
    <row r="333" spans="2:10" ht="12.5" x14ac:dyDescent="0.25">
      <c r="B333" s="3"/>
      <c r="D333" s="10"/>
      <c r="F333" s="10"/>
      <c r="H333" s="10"/>
      <c r="J333" s="10"/>
    </row>
    <row r="334" spans="2:10" ht="12.5" x14ac:dyDescent="0.25">
      <c r="B334" s="3"/>
      <c r="D334" s="10"/>
      <c r="F334" s="10"/>
      <c r="H334" s="10"/>
      <c r="J334" s="10"/>
    </row>
    <row r="335" spans="2:10" ht="12.5" x14ac:dyDescent="0.25">
      <c r="B335" s="3"/>
      <c r="D335" s="10"/>
      <c r="F335" s="10"/>
      <c r="H335" s="10"/>
      <c r="J335" s="10"/>
    </row>
    <row r="336" spans="2:10" ht="12.5" x14ac:dyDescent="0.25">
      <c r="B336" s="3"/>
      <c r="D336" s="10"/>
      <c r="F336" s="10"/>
      <c r="H336" s="10"/>
      <c r="J336" s="10"/>
    </row>
    <row r="337" spans="2:10" ht="12.5" x14ac:dyDescent="0.25">
      <c r="B337" s="3"/>
      <c r="D337" s="10"/>
      <c r="F337" s="10"/>
      <c r="H337" s="10"/>
      <c r="J337" s="10"/>
    </row>
    <row r="338" spans="2:10" ht="12.5" x14ac:dyDescent="0.25">
      <c r="B338" s="3"/>
      <c r="D338" s="10"/>
      <c r="F338" s="10"/>
      <c r="H338" s="10"/>
      <c r="J338" s="10"/>
    </row>
    <row r="339" spans="2:10" ht="12.5" x14ac:dyDescent="0.25">
      <c r="B339" s="3"/>
      <c r="D339" s="10"/>
      <c r="F339" s="10"/>
      <c r="H339" s="10"/>
      <c r="J339" s="10"/>
    </row>
    <row r="340" spans="2:10" ht="12.5" x14ac:dyDescent="0.25">
      <c r="B340" s="3"/>
      <c r="D340" s="10"/>
      <c r="F340" s="10"/>
      <c r="H340" s="10"/>
      <c r="J340" s="10"/>
    </row>
    <row r="341" spans="2:10" ht="12.5" x14ac:dyDescent="0.25">
      <c r="B341" s="3"/>
      <c r="D341" s="10"/>
      <c r="F341" s="10"/>
      <c r="H341" s="10"/>
      <c r="J341" s="10"/>
    </row>
    <row r="342" spans="2:10" ht="12.5" x14ac:dyDescent="0.25">
      <c r="B342" s="3"/>
      <c r="D342" s="10"/>
      <c r="F342" s="10"/>
      <c r="H342" s="10"/>
      <c r="J342" s="10"/>
    </row>
    <row r="343" spans="2:10" ht="12.5" x14ac:dyDescent="0.25">
      <c r="B343" s="3"/>
      <c r="D343" s="10"/>
      <c r="F343" s="10"/>
      <c r="H343" s="10"/>
      <c r="J343" s="10"/>
    </row>
    <row r="344" spans="2:10" ht="12.5" x14ac:dyDescent="0.25">
      <c r="B344" s="3"/>
      <c r="D344" s="10"/>
      <c r="F344" s="10"/>
      <c r="H344" s="10"/>
      <c r="J344" s="10"/>
    </row>
    <row r="345" spans="2:10" ht="12.5" x14ac:dyDescent="0.25">
      <c r="B345" s="3"/>
      <c r="D345" s="10"/>
      <c r="F345" s="10"/>
      <c r="H345" s="10"/>
      <c r="J345" s="10"/>
    </row>
    <row r="346" spans="2:10" ht="12.5" x14ac:dyDescent="0.25">
      <c r="B346" s="3"/>
      <c r="D346" s="10"/>
      <c r="F346" s="10"/>
      <c r="H346" s="10"/>
      <c r="J346" s="10"/>
    </row>
    <row r="347" spans="2:10" ht="12.5" x14ac:dyDescent="0.25">
      <c r="B347" s="3"/>
      <c r="D347" s="10"/>
      <c r="F347" s="10"/>
      <c r="H347" s="10"/>
      <c r="J347" s="10"/>
    </row>
    <row r="348" spans="2:10" ht="12.5" x14ac:dyDescent="0.25">
      <c r="B348" s="3"/>
      <c r="D348" s="10"/>
      <c r="F348" s="10"/>
      <c r="H348" s="10"/>
      <c r="J348" s="10"/>
    </row>
    <row r="349" spans="2:10" ht="12.5" x14ac:dyDescent="0.25">
      <c r="B349" s="3"/>
      <c r="D349" s="10"/>
      <c r="F349" s="10"/>
      <c r="H349" s="10"/>
      <c r="J349" s="10"/>
    </row>
    <row r="350" spans="2:10" ht="12.5" x14ac:dyDescent="0.25">
      <c r="B350" s="3"/>
      <c r="D350" s="10"/>
      <c r="F350" s="10"/>
      <c r="H350" s="10"/>
      <c r="J350" s="10"/>
    </row>
    <row r="351" spans="2:10" ht="12.5" x14ac:dyDescent="0.25">
      <c r="B351" s="3"/>
      <c r="D351" s="10"/>
      <c r="F351" s="10"/>
      <c r="H351" s="10"/>
      <c r="J351" s="10"/>
    </row>
    <row r="352" spans="2:10" ht="12.5" x14ac:dyDescent="0.25">
      <c r="B352" s="3"/>
      <c r="D352" s="10"/>
      <c r="F352" s="10"/>
      <c r="H352" s="10"/>
      <c r="J352" s="10"/>
    </row>
    <row r="353" spans="2:10" ht="12.5" x14ac:dyDescent="0.25">
      <c r="B353" s="3"/>
      <c r="D353" s="10"/>
      <c r="F353" s="10"/>
      <c r="H353" s="10"/>
      <c r="J353" s="10"/>
    </row>
    <row r="354" spans="2:10" ht="12.5" x14ac:dyDescent="0.25">
      <c r="B354" s="3"/>
      <c r="D354" s="10"/>
      <c r="F354" s="10"/>
      <c r="H354" s="10"/>
      <c r="J354" s="10"/>
    </row>
    <row r="355" spans="2:10" ht="12.5" x14ac:dyDescent="0.25">
      <c r="B355" s="3"/>
      <c r="D355" s="10"/>
      <c r="F355" s="10"/>
      <c r="H355" s="10"/>
      <c r="J355" s="10"/>
    </row>
    <row r="356" spans="2:10" ht="12.5" x14ac:dyDescent="0.25">
      <c r="B356" s="3"/>
      <c r="D356" s="10"/>
      <c r="F356" s="10"/>
      <c r="H356" s="10"/>
      <c r="J356" s="10"/>
    </row>
    <row r="357" spans="2:10" ht="12.5" x14ac:dyDescent="0.25">
      <c r="B357" s="3"/>
      <c r="D357" s="10"/>
      <c r="F357" s="10"/>
      <c r="H357" s="10"/>
      <c r="J357" s="10"/>
    </row>
    <row r="358" spans="2:10" ht="12.5" x14ac:dyDescent="0.25">
      <c r="B358" s="3"/>
      <c r="D358" s="10"/>
      <c r="F358" s="10"/>
      <c r="H358" s="10"/>
      <c r="J358" s="10"/>
    </row>
    <row r="359" spans="2:10" ht="12.5" x14ac:dyDescent="0.25">
      <c r="B359" s="3"/>
      <c r="D359" s="10"/>
      <c r="F359" s="10"/>
      <c r="H359" s="10"/>
      <c r="J359" s="10"/>
    </row>
    <row r="360" spans="2:10" ht="12.5" x14ac:dyDescent="0.25">
      <c r="B360" s="3"/>
      <c r="D360" s="10"/>
      <c r="F360" s="10"/>
      <c r="H360" s="10"/>
      <c r="J360" s="10"/>
    </row>
    <row r="361" spans="2:10" ht="12.5" x14ac:dyDescent="0.25">
      <c r="B361" s="3"/>
      <c r="D361" s="10"/>
      <c r="F361" s="10"/>
      <c r="H361" s="10"/>
      <c r="J361" s="10"/>
    </row>
    <row r="362" spans="2:10" ht="12.5" x14ac:dyDescent="0.25">
      <c r="B362" s="3"/>
      <c r="D362" s="10"/>
      <c r="F362" s="10"/>
      <c r="H362" s="10"/>
      <c r="J362" s="10"/>
    </row>
    <row r="363" spans="2:10" ht="12.5" x14ac:dyDescent="0.25">
      <c r="B363" s="3"/>
      <c r="D363" s="10"/>
      <c r="F363" s="10"/>
      <c r="H363" s="10"/>
      <c r="J363" s="10"/>
    </row>
    <row r="364" spans="2:10" ht="12.5" x14ac:dyDescent="0.25">
      <c r="B364" s="3"/>
      <c r="D364" s="10"/>
      <c r="F364" s="10"/>
      <c r="H364" s="10"/>
      <c r="J364" s="10"/>
    </row>
    <row r="365" spans="2:10" ht="12.5" x14ac:dyDescent="0.25">
      <c r="B365" s="3"/>
      <c r="D365" s="10"/>
      <c r="F365" s="10"/>
      <c r="H365" s="10"/>
      <c r="J365" s="10"/>
    </row>
    <row r="366" spans="2:10" ht="12.5" x14ac:dyDescent="0.25">
      <c r="B366" s="3"/>
      <c r="D366" s="10"/>
      <c r="F366" s="10"/>
      <c r="H366" s="10"/>
      <c r="J366" s="10"/>
    </row>
    <row r="367" spans="2:10" ht="12.5" x14ac:dyDescent="0.25">
      <c r="B367" s="3"/>
      <c r="D367" s="10"/>
      <c r="F367" s="10"/>
      <c r="H367" s="10"/>
      <c r="J367" s="10"/>
    </row>
    <row r="368" spans="2:10" ht="12.5" x14ac:dyDescent="0.25">
      <c r="B368" s="3"/>
      <c r="D368" s="10"/>
      <c r="F368" s="10"/>
      <c r="H368" s="10"/>
      <c r="J368" s="10"/>
    </row>
    <row r="369" spans="2:10" ht="12.5" x14ac:dyDescent="0.25">
      <c r="B369" s="3"/>
      <c r="D369" s="10"/>
      <c r="F369" s="10"/>
      <c r="H369" s="10"/>
      <c r="J369" s="10"/>
    </row>
    <row r="370" spans="2:10" ht="12.5" x14ac:dyDescent="0.25">
      <c r="B370" s="3"/>
      <c r="D370" s="10"/>
      <c r="F370" s="10"/>
      <c r="H370" s="10"/>
      <c r="J370" s="10"/>
    </row>
    <row r="371" spans="2:10" ht="12.5" x14ac:dyDescent="0.25">
      <c r="B371" s="3"/>
      <c r="D371" s="10"/>
      <c r="F371" s="10"/>
      <c r="H371" s="10"/>
      <c r="J371" s="10"/>
    </row>
    <row r="372" spans="2:10" ht="12.5" x14ac:dyDescent="0.25">
      <c r="B372" s="3"/>
      <c r="D372" s="10"/>
      <c r="F372" s="10"/>
      <c r="H372" s="10"/>
      <c r="J372" s="10"/>
    </row>
    <row r="373" spans="2:10" ht="12.5" x14ac:dyDescent="0.25">
      <c r="B373" s="3"/>
      <c r="D373" s="10"/>
      <c r="F373" s="10"/>
      <c r="H373" s="10"/>
      <c r="J373" s="10"/>
    </row>
    <row r="374" spans="2:10" ht="12.5" x14ac:dyDescent="0.25">
      <c r="B374" s="3"/>
      <c r="D374" s="10"/>
      <c r="F374" s="10"/>
      <c r="H374" s="10"/>
      <c r="J374" s="10"/>
    </row>
    <row r="375" spans="2:10" ht="12.5" x14ac:dyDescent="0.25">
      <c r="B375" s="3"/>
      <c r="D375" s="10"/>
      <c r="F375" s="10"/>
      <c r="H375" s="10"/>
      <c r="J375" s="10"/>
    </row>
    <row r="376" spans="2:10" ht="12.5" x14ac:dyDescent="0.25">
      <c r="B376" s="3"/>
      <c r="D376" s="10"/>
      <c r="F376" s="10"/>
      <c r="H376" s="10"/>
      <c r="J376" s="10"/>
    </row>
    <row r="377" spans="2:10" ht="12.5" x14ac:dyDescent="0.25">
      <c r="B377" s="3"/>
      <c r="D377" s="10"/>
      <c r="F377" s="10"/>
      <c r="H377" s="10"/>
      <c r="J377" s="10"/>
    </row>
    <row r="378" spans="2:10" ht="12.5" x14ac:dyDescent="0.25">
      <c r="B378" s="3"/>
      <c r="D378" s="10"/>
      <c r="F378" s="10"/>
      <c r="H378" s="10"/>
      <c r="J378" s="10"/>
    </row>
    <row r="379" spans="2:10" ht="12.5" x14ac:dyDescent="0.25">
      <c r="B379" s="3"/>
      <c r="D379" s="10"/>
      <c r="F379" s="10"/>
      <c r="H379" s="10"/>
      <c r="J379" s="10"/>
    </row>
    <row r="380" spans="2:10" ht="12.5" x14ac:dyDescent="0.25">
      <c r="B380" s="3"/>
      <c r="D380" s="10"/>
      <c r="F380" s="10"/>
      <c r="H380" s="10"/>
      <c r="J380" s="10"/>
    </row>
    <row r="381" spans="2:10" ht="12.5" x14ac:dyDescent="0.25">
      <c r="B381" s="3"/>
      <c r="D381" s="10"/>
      <c r="F381" s="10"/>
      <c r="H381" s="10"/>
      <c r="J381" s="10"/>
    </row>
    <row r="382" spans="2:10" ht="12.5" x14ac:dyDescent="0.25">
      <c r="B382" s="3"/>
      <c r="D382" s="10"/>
      <c r="F382" s="10"/>
      <c r="H382" s="10"/>
      <c r="J382" s="10"/>
    </row>
    <row r="383" spans="2:10" ht="12.5" x14ac:dyDescent="0.25">
      <c r="B383" s="3"/>
      <c r="D383" s="10"/>
      <c r="F383" s="10"/>
      <c r="H383" s="10"/>
      <c r="J383" s="10"/>
    </row>
    <row r="384" spans="2:10" ht="12.5" x14ac:dyDescent="0.25">
      <c r="B384" s="3"/>
      <c r="D384" s="10"/>
      <c r="F384" s="10"/>
      <c r="H384" s="10"/>
      <c r="J384" s="10"/>
    </row>
    <row r="385" spans="2:10" ht="12.5" x14ac:dyDescent="0.25">
      <c r="B385" s="3"/>
      <c r="D385" s="10"/>
      <c r="F385" s="10"/>
      <c r="H385" s="10"/>
      <c r="J385" s="10"/>
    </row>
    <row r="386" spans="2:10" ht="12.5" x14ac:dyDescent="0.25">
      <c r="B386" s="3"/>
      <c r="D386" s="10"/>
      <c r="F386" s="10"/>
      <c r="H386" s="10"/>
      <c r="J386" s="10"/>
    </row>
    <row r="387" spans="2:10" ht="12.5" x14ac:dyDescent="0.25">
      <c r="B387" s="3"/>
      <c r="D387" s="10"/>
      <c r="F387" s="10"/>
      <c r="H387" s="10"/>
      <c r="J387" s="10"/>
    </row>
    <row r="388" spans="2:10" ht="12.5" x14ac:dyDescent="0.25">
      <c r="B388" s="3"/>
      <c r="D388" s="10"/>
      <c r="F388" s="10"/>
      <c r="H388" s="10"/>
      <c r="J388" s="10"/>
    </row>
    <row r="389" spans="2:10" ht="12.5" x14ac:dyDescent="0.25">
      <c r="B389" s="3"/>
      <c r="D389" s="10"/>
      <c r="F389" s="10"/>
      <c r="H389" s="10"/>
      <c r="J389" s="10"/>
    </row>
    <row r="390" spans="2:10" ht="12.5" x14ac:dyDescent="0.25">
      <c r="B390" s="3"/>
      <c r="D390" s="10"/>
      <c r="F390" s="10"/>
      <c r="H390" s="10"/>
      <c r="J390" s="10"/>
    </row>
    <row r="391" spans="2:10" ht="12.5" x14ac:dyDescent="0.25">
      <c r="B391" s="3"/>
      <c r="D391" s="10"/>
      <c r="F391" s="10"/>
      <c r="H391" s="10"/>
      <c r="J391" s="10"/>
    </row>
    <row r="392" spans="2:10" ht="12.5" x14ac:dyDescent="0.25">
      <c r="B392" s="3"/>
      <c r="D392" s="10"/>
      <c r="F392" s="10"/>
      <c r="H392" s="10"/>
      <c r="J392" s="10"/>
    </row>
    <row r="393" spans="2:10" ht="12.5" x14ac:dyDescent="0.25">
      <c r="B393" s="3"/>
      <c r="D393" s="10"/>
      <c r="F393" s="10"/>
      <c r="H393" s="10"/>
      <c r="J393" s="10"/>
    </row>
    <row r="394" spans="2:10" ht="12.5" x14ac:dyDescent="0.25">
      <c r="B394" s="3"/>
      <c r="D394" s="10"/>
      <c r="F394" s="10"/>
      <c r="H394" s="10"/>
      <c r="J394" s="10"/>
    </row>
    <row r="395" spans="2:10" ht="12.5" x14ac:dyDescent="0.25">
      <c r="B395" s="3"/>
      <c r="D395" s="10"/>
      <c r="F395" s="10"/>
      <c r="H395" s="10"/>
      <c r="J395" s="10"/>
    </row>
    <row r="396" spans="2:10" ht="12.5" x14ac:dyDescent="0.25">
      <c r="B396" s="3"/>
      <c r="D396" s="10"/>
      <c r="F396" s="10"/>
      <c r="H396" s="10"/>
      <c r="J396" s="10"/>
    </row>
    <row r="397" spans="2:10" ht="12.5" x14ac:dyDescent="0.25">
      <c r="B397" s="3"/>
      <c r="D397" s="10"/>
      <c r="F397" s="10"/>
      <c r="H397" s="10"/>
      <c r="J397" s="10"/>
    </row>
    <row r="398" spans="2:10" ht="12.5" x14ac:dyDescent="0.25">
      <c r="B398" s="3"/>
      <c r="D398" s="10"/>
      <c r="F398" s="10"/>
      <c r="H398" s="10"/>
      <c r="J398" s="10"/>
    </row>
    <row r="399" spans="2:10" ht="12.5" x14ac:dyDescent="0.25">
      <c r="B399" s="3"/>
      <c r="D399" s="10"/>
      <c r="F399" s="10"/>
      <c r="H399" s="10"/>
      <c r="J399" s="10"/>
    </row>
    <row r="400" spans="2:10" ht="12.5" x14ac:dyDescent="0.25">
      <c r="B400" s="3"/>
      <c r="D400" s="10"/>
      <c r="F400" s="10"/>
      <c r="H400" s="10"/>
      <c r="J400" s="10"/>
    </row>
    <row r="401" spans="2:10" ht="12.5" x14ac:dyDescent="0.25">
      <c r="B401" s="3"/>
      <c r="D401" s="10"/>
      <c r="F401" s="10"/>
      <c r="H401" s="10"/>
      <c r="J401" s="10"/>
    </row>
    <row r="402" spans="2:10" ht="12.5" x14ac:dyDescent="0.25">
      <c r="B402" s="3"/>
      <c r="D402" s="10"/>
      <c r="F402" s="10"/>
      <c r="H402" s="10"/>
      <c r="J402" s="10"/>
    </row>
    <row r="403" spans="2:10" ht="12.5" x14ac:dyDescent="0.25">
      <c r="B403" s="3"/>
      <c r="D403" s="10"/>
      <c r="F403" s="10"/>
      <c r="H403" s="10"/>
      <c r="J403" s="10"/>
    </row>
    <row r="404" spans="2:10" ht="12.5" x14ac:dyDescent="0.25">
      <c r="B404" s="3"/>
      <c r="D404" s="10"/>
      <c r="F404" s="10"/>
      <c r="H404" s="10"/>
      <c r="J404" s="10"/>
    </row>
    <row r="405" spans="2:10" ht="12.5" x14ac:dyDescent="0.25">
      <c r="B405" s="3"/>
      <c r="D405" s="10"/>
      <c r="F405" s="10"/>
      <c r="H405" s="10"/>
      <c r="J405" s="10"/>
    </row>
    <row r="406" spans="2:10" ht="12.5" x14ac:dyDescent="0.25">
      <c r="B406" s="3"/>
      <c r="D406" s="10"/>
      <c r="F406" s="10"/>
      <c r="H406" s="10"/>
      <c r="J406" s="10"/>
    </row>
    <row r="407" spans="2:10" ht="12.5" x14ac:dyDescent="0.25">
      <c r="B407" s="3"/>
      <c r="D407" s="10"/>
      <c r="F407" s="10"/>
      <c r="H407" s="10"/>
      <c r="J407" s="10"/>
    </row>
    <row r="408" spans="2:10" ht="12.5" x14ac:dyDescent="0.25">
      <c r="B408" s="3"/>
      <c r="D408" s="10"/>
      <c r="F408" s="10"/>
      <c r="H408" s="10"/>
      <c r="J408" s="10"/>
    </row>
    <row r="409" spans="2:10" ht="12.5" x14ac:dyDescent="0.25">
      <c r="B409" s="3"/>
      <c r="D409" s="10"/>
      <c r="F409" s="10"/>
      <c r="H409" s="10"/>
      <c r="J409" s="10"/>
    </row>
    <row r="410" spans="2:10" ht="12.5" x14ac:dyDescent="0.25">
      <c r="B410" s="3"/>
      <c r="D410" s="10"/>
      <c r="F410" s="10"/>
      <c r="H410" s="10"/>
      <c r="J410" s="10"/>
    </row>
    <row r="411" spans="2:10" ht="12.5" x14ac:dyDescent="0.25">
      <c r="B411" s="3"/>
      <c r="D411" s="10"/>
      <c r="F411" s="10"/>
      <c r="H411" s="10"/>
      <c r="J411" s="10"/>
    </row>
    <row r="412" spans="2:10" ht="12.5" x14ac:dyDescent="0.25">
      <c r="B412" s="3"/>
      <c r="D412" s="10"/>
      <c r="F412" s="10"/>
      <c r="H412" s="10"/>
      <c r="J412" s="10"/>
    </row>
    <row r="413" spans="2:10" ht="12.5" x14ac:dyDescent="0.25">
      <c r="B413" s="3"/>
      <c r="D413" s="10"/>
      <c r="F413" s="10"/>
      <c r="H413" s="10"/>
      <c r="J413" s="10"/>
    </row>
    <row r="414" spans="2:10" ht="12.5" x14ac:dyDescent="0.25">
      <c r="B414" s="3"/>
      <c r="D414" s="10"/>
      <c r="F414" s="10"/>
      <c r="H414" s="10"/>
      <c r="J414" s="10"/>
    </row>
    <row r="415" spans="2:10" ht="12.5" x14ac:dyDescent="0.25">
      <c r="B415" s="3"/>
      <c r="D415" s="10"/>
      <c r="F415" s="10"/>
      <c r="H415" s="10"/>
      <c r="J415" s="10"/>
    </row>
    <row r="416" spans="2:10" ht="12.5" x14ac:dyDescent="0.25">
      <c r="B416" s="3"/>
      <c r="D416" s="10"/>
      <c r="F416" s="10"/>
      <c r="H416" s="10"/>
      <c r="J416" s="10"/>
    </row>
    <row r="417" spans="2:10" ht="12.5" x14ac:dyDescent="0.25">
      <c r="B417" s="3"/>
      <c r="D417" s="10"/>
      <c r="F417" s="10"/>
      <c r="H417" s="10"/>
      <c r="J417" s="10"/>
    </row>
    <row r="418" spans="2:10" ht="12.5" x14ac:dyDescent="0.25">
      <c r="B418" s="3"/>
      <c r="D418" s="10"/>
      <c r="F418" s="10"/>
      <c r="H418" s="10"/>
      <c r="J418" s="10"/>
    </row>
    <row r="419" spans="2:10" ht="12.5" x14ac:dyDescent="0.25">
      <c r="B419" s="3"/>
      <c r="D419" s="10"/>
      <c r="F419" s="10"/>
      <c r="H419" s="10"/>
      <c r="J419" s="10"/>
    </row>
    <row r="420" spans="2:10" ht="12.5" x14ac:dyDescent="0.25">
      <c r="B420" s="3"/>
      <c r="D420" s="10"/>
      <c r="F420" s="10"/>
      <c r="H420" s="10"/>
      <c r="J420" s="10"/>
    </row>
    <row r="421" spans="2:10" ht="12.5" x14ac:dyDescent="0.25">
      <c r="B421" s="3"/>
      <c r="D421" s="10"/>
      <c r="F421" s="10"/>
      <c r="H421" s="10"/>
      <c r="J421" s="10"/>
    </row>
    <row r="422" spans="2:10" ht="12.5" x14ac:dyDescent="0.25">
      <c r="B422" s="3"/>
      <c r="D422" s="10"/>
      <c r="F422" s="10"/>
      <c r="H422" s="10"/>
      <c r="J422" s="10"/>
    </row>
    <row r="423" spans="2:10" ht="12.5" x14ac:dyDescent="0.25">
      <c r="B423" s="3"/>
      <c r="D423" s="10"/>
      <c r="F423" s="10"/>
      <c r="H423" s="10"/>
      <c r="J423" s="10"/>
    </row>
    <row r="424" spans="2:10" ht="12.5" x14ac:dyDescent="0.25">
      <c r="B424" s="3"/>
      <c r="D424" s="10"/>
      <c r="F424" s="10"/>
      <c r="H424" s="10"/>
      <c r="J424" s="10"/>
    </row>
    <row r="425" spans="2:10" ht="12.5" x14ac:dyDescent="0.25">
      <c r="B425" s="3"/>
      <c r="D425" s="10"/>
      <c r="F425" s="10"/>
      <c r="H425" s="10"/>
      <c r="J425" s="10"/>
    </row>
    <row r="426" spans="2:10" ht="12.5" x14ac:dyDescent="0.25">
      <c r="B426" s="3"/>
      <c r="D426" s="10"/>
      <c r="F426" s="10"/>
      <c r="H426" s="10"/>
      <c r="J426" s="10"/>
    </row>
    <row r="427" spans="2:10" ht="12.5" x14ac:dyDescent="0.25">
      <c r="B427" s="3"/>
      <c r="D427" s="10"/>
      <c r="F427" s="10"/>
      <c r="H427" s="10"/>
      <c r="J427" s="10"/>
    </row>
    <row r="428" spans="2:10" ht="12.5" x14ac:dyDescent="0.25">
      <c r="B428" s="3"/>
      <c r="D428" s="10"/>
      <c r="F428" s="10"/>
      <c r="H428" s="10"/>
      <c r="J428" s="10"/>
    </row>
    <row r="429" spans="2:10" ht="12.5" x14ac:dyDescent="0.25">
      <c r="B429" s="3"/>
      <c r="D429" s="10"/>
      <c r="F429" s="10"/>
      <c r="H429" s="10"/>
      <c r="J429" s="10"/>
    </row>
    <row r="430" spans="2:10" ht="12.5" x14ac:dyDescent="0.25">
      <c r="B430" s="3"/>
      <c r="D430" s="10"/>
      <c r="F430" s="10"/>
      <c r="H430" s="10"/>
      <c r="J430" s="10"/>
    </row>
    <row r="431" spans="2:10" ht="12.5" x14ac:dyDescent="0.25">
      <c r="B431" s="3"/>
      <c r="D431" s="10"/>
      <c r="F431" s="10"/>
      <c r="H431" s="10"/>
      <c r="J431" s="10"/>
    </row>
    <row r="432" spans="2:10" ht="12.5" x14ac:dyDescent="0.25">
      <c r="B432" s="3"/>
      <c r="D432" s="10"/>
      <c r="F432" s="10"/>
      <c r="H432" s="10"/>
      <c r="J432" s="10"/>
    </row>
    <row r="433" spans="2:10" ht="12.5" x14ac:dyDescent="0.25">
      <c r="B433" s="3"/>
      <c r="D433" s="10"/>
      <c r="F433" s="10"/>
      <c r="H433" s="10"/>
      <c r="J433" s="10"/>
    </row>
    <row r="434" spans="2:10" ht="12.5" x14ac:dyDescent="0.25">
      <c r="B434" s="3"/>
      <c r="D434" s="10"/>
      <c r="F434" s="10"/>
      <c r="H434" s="10"/>
      <c r="J434" s="10"/>
    </row>
    <row r="435" spans="2:10" ht="12.5" x14ac:dyDescent="0.25">
      <c r="B435" s="3"/>
      <c r="D435" s="10"/>
      <c r="F435" s="10"/>
      <c r="H435" s="10"/>
      <c r="J435" s="10"/>
    </row>
    <row r="436" spans="2:10" ht="12.5" x14ac:dyDescent="0.25">
      <c r="B436" s="3"/>
      <c r="D436" s="10"/>
      <c r="F436" s="10"/>
      <c r="H436" s="10"/>
      <c r="J436" s="10"/>
    </row>
    <row r="437" spans="2:10" ht="12.5" x14ac:dyDescent="0.25">
      <c r="B437" s="3"/>
      <c r="D437" s="10"/>
      <c r="F437" s="10"/>
      <c r="H437" s="10"/>
      <c r="J437" s="10"/>
    </row>
    <row r="438" spans="2:10" ht="12.5" x14ac:dyDescent="0.25">
      <c r="B438" s="3"/>
      <c r="D438" s="10"/>
      <c r="F438" s="10"/>
      <c r="H438" s="10"/>
      <c r="J438" s="10"/>
    </row>
    <row r="439" spans="2:10" ht="12.5" x14ac:dyDescent="0.25">
      <c r="B439" s="3"/>
      <c r="D439" s="10"/>
      <c r="F439" s="10"/>
      <c r="H439" s="10"/>
      <c r="J439" s="10"/>
    </row>
    <row r="440" spans="2:10" ht="12.5" x14ac:dyDescent="0.25">
      <c r="B440" s="3"/>
      <c r="D440" s="10"/>
      <c r="F440" s="10"/>
      <c r="H440" s="10"/>
      <c r="J440" s="10"/>
    </row>
    <row r="441" spans="2:10" ht="12.5" x14ac:dyDescent="0.25">
      <c r="B441" s="3"/>
      <c r="D441" s="10"/>
      <c r="F441" s="10"/>
      <c r="H441" s="10"/>
      <c r="J441" s="10"/>
    </row>
    <row r="442" spans="2:10" ht="12.5" x14ac:dyDescent="0.25">
      <c r="B442" s="3"/>
      <c r="D442" s="10"/>
      <c r="F442" s="10"/>
      <c r="H442" s="10"/>
      <c r="J442" s="10"/>
    </row>
    <row r="443" spans="2:10" ht="12.5" x14ac:dyDescent="0.25">
      <c r="B443" s="3"/>
      <c r="D443" s="10"/>
      <c r="F443" s="10"/>
      <c r="H443" s="10"/>
      <c r="J443" s="10"/>
    </row>
    <row r="444" spans="2:10" ht="12.5" x14ac:dyDescent="0.25">
      <c r="B444" s="3"/>
      <c r="D444" s="10"/>
      <c r="F444" s="10"/>
      <c r="H444" s="10"/>
      <c r="J444" s="10"/>
    </row>
    <row r="445" spans="2:10" ht="12.5" x14ac:dyDescent="0.25">
      <c r="B445" s="3"/>
      <c r="D445" s="10"/>
      <c r="F445" s="10"/>
      <c r="H445" s="10"/>
      <c r="J445" s="10"/>
    </row>
    <row r="446" spans="2:10" ht="12.5" x14ac:dyDescent="0.25">
      <c r="B446" s="3"/>
      <c r="D446" s="10"/>
      <c r="F446" s="10"/>
      <c r="H446" s="10"/>
      <c r="J446" s="10"/>
    </row>
    <row r="447" spans="2:10" ht="12.5" x14ac:dyDescent="0.25">
      <c r="B447" s="3"/>
      <c r="D447" s="10"/>
      <c r="F447" s="10"/>
      <c r="H447" s="10"/>
      <c r="J447" s="10"/>
    </row>
    <row r="448" spans="2:10" ht="12.5" x14ac:dyDescent="0.25">
      <c r="B448" s="3"/>
      <c r="D448" s="10"/>
      <c r="F448" s="10"/>
      <c r="H448" s="10"/>
      <c r="J448" s="10"/>
    </row>
    <row r="449" spans="2:10" ht="12.5" x14ac:dyDescent="0.25">
      <c r="B449" s="3"/>
      <c r="D449" s="10"/>
      <c r="F449" s="10"/>
      <c r="H449" s="10"/>
      <c r="J449" s="10"/>
    </row>
    <row r="450" spans="2:10" ht="12.5" x14ac:dyDescent="0.25">
      <c r="B450" s="3"/>
      <c r="D450" s="10"/>
      <c r="F450" s="10"/>
      <c r="H450" s="10"/>
      <c r="J450" s="10"/>
    </row>
    <row r="451" spans="2:10" ht="12.5" x14ac:dyDescent="0.25">
      <c r="B451" s="3"/>
      <c r="D451" s="10"/>
      <c r="F451" s="10"/>
      <c r="H451" s="10"/>
      <c r="J451" s="10"/>
    </row>
    <row r="452" spans="2:10" ht="12.5" x14ac:dyDescent="0.25">
      <c r="B452" s="3"/>
      <c r="D452" s="10"/>
      <c r="F452" s="10"/>
      <c r="H452" s="10"/>
      <c r="J452" s="10"/>
    </row>
    <row r="453" spans="2:10" ht="12.5" x14ac:dyDescent="0.25">
      <c r="B453" s="3"/>
      <c r="D453" s="10"/>
      <c r="F453" s="10"/>
      <c r="H453" s="10"/>
      <c r="J453" s="10"/>
    </row>
    <row r="454" spans="2:10" ht="12.5" x14ac:dyDescent="0.25">
      <c r="B454" s="3"/>
      <c r="D454" s="10"/>
      <c r="F454" s="10"/>
      <c r="H454" s="10"/>
      <c r="J454" s="10"/>
    </row>
    <row r="455" spans="2:10" ht="12.5" x14ac:dyDescent="0.25">
      <c r="B455" s="3"/>
      <c r="D455" s="10"/>
      <c r="F455" s="10"/>
      <c r="H455" s="10"/>
      <c r="J455" s="10"/>
    </row>
    <row r="456" spans="2:10" ht="12.5" x14ac:dyDescent="0.25">
      <c r="B456" s="3"/>
      <c r="D456" s="10"/>
      <c r="F456" s="10"/>
      <c r="H456" s="10"/>
      <c r="J456" s="10"/>
    </row>
    <row r="457" spans="2:10" ht="12.5" x14ac:dyDescent="0.25">
      <c r="B457" s="3"/>
      <c r="D457" s="10"/>
      <c r="F457" s="10"/>
      <c r="H457" s="10"/>
      <c r="J457" s="10"/>
    </row>
    <row r="458" spans="2:10" ht="12.5" x14ac:dyDescent="0.25">
      <c r="B458" s="3"/>
      <c r="D458" s="10"/>
      <c r="F458" s="10"/>
      <c r="H458" s="10"/>
      <c r="J458" s="10"/>
    </row>
    <row r="459" spans="2:10" ht="12.5" x14ac:dyDescent="0.25">
      <c r="B459" s="3"/>
      <c r="D459" s="10"/>
      <c r="F459" s="10"/>
      <c r="H459" s="10"/>
      <c r="J459" s="10"/>
    </row>
    <row r="460" spans="2:10" ht="12.5" x14ac:dyDescent="0.25">
      <c r="B460" s="3"/>
      <c r="D460" s="10"/>
      <c r="F460" s="10"/>
      <c r="H460" s="10"/>
      <c r="J460" s="10"/>
    </row>
    <row r="461" spans="2:10" ht="12.5" x14ac:dyDescent="0.25">
      <c r="B461" s="3"/>
      <c r="D461" s="10"/>
      <c r="F461" s="10"/>
      <c r="H461" s="10"/>
      <c r="J461" s="10"/>
    </row>
    <row r="462" spans="2:10" ht="12.5" x14ac:dyDescent="0.25">
      <c r="B462" s="3"/>
      <c r="D462" s="10"/>
      <c r="F462" s="10"/>
      <c r="H462" s="10"/>
      <c r="J462" s="10"/>
    </row>
    <row r="463" spans="2:10" ht="12.5" x14ac:dyDescent="0.25">
      <c r="B463" s="3"/>
      <c r="D463" s="10"/>
      <c r="F463" s="10"/>
      <c r="H463" s="10"/>
      <c r="J463" s="10"/>
    </row>
    <row r="464" spans="2:10" ht="12.5" x14ac:dyDescent="0.25">
      <c r="B464" s="3"/>
      <c r="D464" s="10"/>
      <c r="F464" s="10"/>
      <c r="H464" s="10"/>
      <c r="J464" s="10"/>
    </row>
    <row r="465" spans="2:10" ht="12.5" x14ac:dyDescent="0.25">
      <c r="B465" s="3"/>
      <c r="D465" s="10"/>
      <c r="F465" s="10"/>
      <c r="H465" s="10"/>
      <c r="J465" s="10"/>
    </row>
    <row r="466" spans="2:10" ht="12.5" x14ac:dyDescent="0.25">
      <c r="B466" s="3"/>
      <c r="D466" s="10"/>
      <c r="F466" s="10"/>
      <c r="H466" s="10"/>
      <c r="J466" s="10"/>
    </row>
    <row r="467" spans="2:10" ht="12.5" x14ac:dyDescent="0.25">
      <c r="B467" s="3"/>
      <c r="D467" s="10"/>
      <c r="F467" s="10"/>
      <c r="H467" s="10"/>
      <c r="J467" s="10"/>
    </row>
    <row r="468" spans="2:10" ht="12.5" x14ac:dyDescent="0.25">
      <c r="B468" s="3"/>
      <c r="D468" s="10"/>
      <c r="F468" s="10"/>
      <c r="H468" s="10"/>
      <c r="J468" s="10"/>
    </row>
    <row r="469" spans="2:10" ht="12.5" x14ac:dyDescent="0.25">
      <c r="B469" s="3"/>
      <c r="D469" s="10"/>
      <c r="F469" s="10"/>
      <c r="H469" s="10"/>
      <c r="J469" s="10"/>
    </row>
    <row r="470" spans="2:10" ht="12.5" x14ac:dyDescent="0.25">
      <c r="B470" s="3"/>
      <c r="D470" s="10"/>
      <c r="F470" s="10"/>
      <c r="H470" s="10"/>
      <c r="J470" s="10"/>
    </row>
    <row r="471" spans="2:10" ht="12.5" x14ac:dyDescent="0.25">
      <c r="B471" s="3"/>
      <c r="D471" s="10"/>
      <c r="F471" s="10"/>
      <c r="H471" s="10"/>
      <c r="J471" s="10"/>
    </row>
    <row r="472" spans="2:10" ht="12.5" x14ac:dyDescent="0.25">
      <c r="B472" s="3"/>
      <c r="D472" s="10"/>
      <c r="F472" s="10"/>
      <c r="H472" s="10"/>
      <c r="J472" s="10"/>
    </row>
    <row r="473" spans="2:10" ht="12.5" x14ac:dyDescent="0.25">
      <c r="B473" s="3"/>
      <c r="D473" s="10"/>
      <c r="F473" s="10"/>
      <c r="H473" s="10"/>
      <c r="J473" s="10"/>
    </row>
    <row r="474" spans="2:10" ht="12.5" x14ac:dyDescent="0.25">
      <c r="B474" s="3"/>
      <c r="D474" s="10"/>
      <c r="F474" s="10"/>
      <c r="H474" s="10"/>
      <c r="J474" s="10"/>
    </row>
    <row r="475" spans="2:10" ht="12.5" x14ac:dyDescent="0.25">
      <c r="B475" s="3"/>
      <c r="D475" s="10"/>
      <c r="F475" s="10"/>
      <c r="H475" s="10"/>
      <c r="J475" s="10"/>
    </row>
    <row r="476" spans="2:10" ht="12.5" x14ac:dyDescent="0.25">
      <c r="B476" s="3"/>
      <c r="D476" s="10"/>
      <c r="F476" s="10"/>
      <c r="H476" s="10"/>
      <c r="J476" s="10"/>
    </row>
    <row r="477" spans="2:10" ht="12.5" x14ac:dyDescent="0.25">
      <c r="B477" s="3"/>
      <c r="D477" s="10"/>
      <c r="F477" s="10"/>
      <c r="H477" s="10"/>
      <c r="J477" s="10"/>
    </row>
    <row r="478" spans="2:10" ht="12.5" x14ac:dyDescent="0.25">
      <c r="B478" s="3"/>
      <c r="D478" s="10"/>
      <c r="F478" s="10"/>
      <c r="H478" s="10"/>
      <c r="J478" s="10"/>
    </row>
    <row r="479" spans="2:10" ht="12.5" x14ac:dyDescent="0.25">
      <c r="B479" s="3"/>
      <c r="D479" s="10"/>
      <c r="F479" s="10"/>
      <c r="H479" s="10"/>
      <c r="J479" s="10"/>
    </row>
    <row r="480" spans="2:10" ht="12.5" x14ac:dyDescent="0.25">
      <c r="B480" s="3"/>
      <c r="D480" s="10"/>
      <c r="F480" s="10"/>
      <c r="H480" s="10"/>
      <c r="J480" s="10"/>
    </row>
    <row r="481" spans="2:10" ht="12.5" x14ac:dyDescent="0.25">
      <c r="B481" s="3"/>
      <c r="D481" s="10"/>
      <c r="F481" s="10"/>
      <c r="H481" s="10"/>
      <c r="J481" s="10"/>
    </row>
    <row r="482" spans="2:10" ht="12.5" x14ac:dyDescent="0.25">
      <c r="B482" s="3"/>
      <c r="D482" s="10"/>
      <c r="F482" s="10"/>
      <c r="H482" s="10"/>
      <c r="J482" s="10"/>
    </row>
    <row r="483" spans="2:10" ht="12.5" x14ac:dyDescent="0.25">
      <c r="B483" s="3"/>
      <c r="D483" s="10"/>
      <c r="F483" s="10"/>
      <c r="H483" s="10"/>
      <c r="J483" s="10"/>
    </row>
    <row r="484" spans="2:10" ht="12.5" x14ac:dyDescent="0.25">
      <c r="B484" s="3"/>
      <c r="D484" s="10"/>
      <c r="F484" s="10"/>
      <c r="H484" s="10"/>
      <c r="J484" s="10"/>
    </row>
    <row r="485" spans="2:10" ht="12.5" x14ac:dyDescent="0.25">
      <c r="B485" s="3"/>
      <c r="D485" s="10"/>
      <c r="F485" s="10"/>
      <c r="H485" s="10"/>
      <c r="J485" s="10"/>
    </row>
    <row r="486" spans="2:10" ht="12.5" x14ac:dyDescent="0.25">
      <c r="B486" s="3"/>
      <c r="D486" s="10"/>
      <c r="F486" s="10"/>
      <c r="H486" s="10"/>
      <c r="J486" s="10"/>
    </row>
    <row r="487" spans="2:10" ht="12.5" x14ac:dyDescent="0.25">
      <c r="B487" s="3"/>
      <c r="D487" s="10"/>
      <c r="F487" s="10"/>
      <c r="H487" s="10"/>
      <c r="J487" s="10"/>
    </row>
    <row r="488" spans="2:10" ht="12.5" x14ac:dyDescent="0.25">
      <c r="B488" s="3"/>
      <c r="D488" s="10"/>
      <c r="F488" s="10"/>
      <c r="H488" s="10"/>
      <c r="J488" s="10"/>
    </row>
    <row r="489" spans="2:10" ht="12.5" x14ac:dyDescent="0.25">
      <c r="B489" s="3"/>
      <c r="D489" s="10"/>
      <c r="F489" s="10"/>
      <c r="H489" s="10"/>
      <c r="J489" s="10"/>
    </row>
    <row r="490" spans="2:10" ht="12.5" x14ac:dyDescent="0.25">
      <c r="B490" s="3"/>
      <c r="D490" s="10"/>
      <c r="F490" s="10"/>
      <c r="H490" s="10"/>
      <c r="J490" s="10"/>
    </row>
    <row r="491" spans="2:10" ht="12.5" x14ac:dyDescent="0.25">
      <c r="B491" s="3"/>
      <c r="D491" s="10"/>
      <c r="F491" s="10"/>
      <c r="H491" s="10"/>
      <c r="J491" s="10"/>
    </row>
    <row r="492" spans="2:10" ht="12.5" x14ac:dyDescent="0.25">
      <c r="B492" s="3"/>
      <c r="D492" s="10"/>
      <c r="F492" s="10"/>
      <c r="H492" s="10"/>
      <c r="J492" s="10"/>
    </row>
    <row r="493" spans="2:10" ht="12.5" x14ac:dyDescent="0.25">
      <c r="B493" s="3"/>
      <c r="D493" s="10"/>
      <c r="F493" s="10"/>
      <c r="H493" s="10"/>
      <c r="J493" s="10"/>
    </row>
    <row r="494" spans="2:10" ht="12.5" x14ac:dyDescent="0.25">
      <c r="B494" s="3"/>
      <c r="D494" s="10"/>
      <c r="F494" s="10"/>
      <c r="H494" s="10"/>
      <c r="J494" s="10"/>
    </row>
    <row r="495" spans="2:10" ht="12.5" x14ac:dyDescent="0.25">
      <c r="B495" s="3"/>
      <c r="D495" s="10"/>
      <c r="F495" s="10"/>
      <c r="H495" s="10"/>
      <c r="J495" s="10"/>
    </row>
    <row r="496" spans="2:10" ht="12.5" x14ac:dyDescent="0.25">
      <c r="B496" s="3"/>
      <c r="D496" s="10"/>
      <c r="F496" s="10"/>
      <c r="H496" s="10"/>
      <c r="J496" s="10"/>
    </row>
    <row r="497" spans="2:10" ht="12.5" x14ac:dyDescent="0.25">
      <c r="B497" s="3"/>
      <c r="D497" s="10"/>
      <c r="F497" s="10"/>
      <c r="H497" s="10"/>
      <c r="J497" s="10"/>
    </row>
    <row r="498" spans="2:10" ht="12.5" x14ac:dyDescent="0.25">
      <c r="B498" s="3"/>
      <c r="D498" s="10"/>
      <c r="F498" s="10"/>
      <c r="H498" s="10"/>
      <c r="J498" s="10"/>
    </row>
    <row r="499" spans="2:10" ht="12.5" x14ac:dyDescent="0.25">
      <c r="B499" s="3"/>
      <c r="D499" s="10"/>
      <c r="F499" s="10"/>
      <c r="H499" s="10"/>
      <c r="J499" s="10"/>
    </row>
    <row r="500" spans="2:10" ht="12.5" x14ac:dyDescent="0.25">
      <c r="B500" s="3"/>
      <c r="D500" s="10"/>
      <c r="F500" s="10"/>
      <c r="H500" s="10"/>
      <c r="J500" s="10"/>
    </row>
    <row r="501" spans="2:10" ht="12.5" x14ac:dyDescent="0.25">
      <c r="B501" s="3"/>
      <c r="D501" s="10"/>
      <c r="F501" s="10"/>
      <c r="H501" s="10"/>
      <c r="J501" s="10"/>
    </row>
    <row r="502" spans="2:10" ht="12.5" x14ac:dyDescent="0.25">
      <c r="B502" s="3"/>
      <c r="D502" s="10"/>
      <c r="F502" s="10"/>
      <c r="H502" s="10"/>
      <c r="J502" s="10"/>
    </row>
    <row r="503" spans="2:10" ht="12.5" x14ac:dyDescent="0.25">
      <c r="B503" s="3"/>
      <c r="D503" s="10"/>
      <c r="F503" s="10"/>
      <c r="H503" s="10"/>
      <c r="J503" s="10"/>
    </row>
    <row r="504" spans="2:10" ht="12.5" x14ac:dyDescent="0.25">
      <c r="B504" s="3"/>
      <c r="D504" s="10"/>
      <c r="F504" s="10"/>
      <c r="H504" s="10"/>
      <c r="J504" s="10"/>
    </row>
    <row r="505" spans="2:10" ht="12.5" x14ac:dyDescent="0.25">
      <c r="B505" s="3"/>
      <c r="D505" s="10"/>
      <c r="F505" s="10"/>
      <c r="H505" s="10"/>
      <c r="J505" s="10"/>
    </row>
    <row r="506" spans="2:10" ht="12.5" x14ac:dyDescent="0.25">
      <c r="B506" s="3"/>
      <c r="D506" s="10"/>
      <c r="F506" s="10"/>
      <c r="H506" s="10"/>
      <c r="J506" s="10"/>
    </row>
    <row r="507" spans="2:10" ht="12.5" x14ac:dyDescent="0.25">
      <c r="B507" s="3"/>
      <c r="D507" s="10"/>
      <c r="F507" s="10"/>
      <c r="H507" s="10"/>
      <c r="J507" s="10"/>
    </row>
    <row r="508" spans="2:10" ht="12.5" x14ac:dyDescent="0.25">
      <c r="B508" s="3"/>
      <c r="D508" s="10"/>
      <c r="F508" s="10"/>
      <c r="H508" s="10"/>
      <c r="J508" s="10"/>
    </row>
    <row r="509" spans="2:10" ht="12.5" x14ac:dyDescent="0.25">
      <c r="B509" s="3"/>
      <c r="D509" s="10"/>
      <c r="F509" s="10"/>
      <c r="H509" s="10"/>
      <c r="J509" s="10"/>
    </row>
    <row r="510" spans="2:10" ht="12.5" x14ac:dyDescent="0.25">
      <c r="B510" s="3"/>
      <c r="D510" s="10"/>
      <c r="F510" s="10"/>
      <c r="H510" s="10"/>
      <c r="J510" s="10"/>
    </row>
    <row r="511" spans="2:10" ht="12.5" x14ac:dyDescent="0.25">
      <c r="B511" s="3"/>
      <c r="D511" s="10"/>
      <c r="F511" s="10"/>
      <c r="H511" s="10"/>
      <c r="J511" s="10"/>
    </row>
    <row r="512" spans="2:10" ht="12.5" x14ac:dyDescent="0.25">
      <c r="B512" s="3"/>
      <c r="D512" s="10"/>
      <c r="F512" s="10"/>
      <c r="H512" s="10"/>
      <c r="J512" s="10"/>
    </row>
    <row r="513" spans="2:10" ht="12.5" x14ac:dyDescent="0.25">
      <c r="B513" s="3"/>
      <c r="D513" s="10"/>
      <c r="F513" s="10"/>
      <c r="H513" s="10"/>
      <c r="J513" s="10"/>
    </row>
    <row r="514" spans="2:10" ht="12.5" x14ac:dyDescent="0.25">
      <c r="B514" s="3"/>
      <c r="D514" s="10"/>
      <c r="F514" s="10"/>
      <c r="H514" s="10"/>
      <c r="J514" s="10"/>
    </row>
    <row r="515" spans="2:10" ht="12.5" x14ac:dyDescent="0.25">
      <c r="B515" s="3"/>
      <c r="D515" s="10"/>
      <c r="F515" s="10"/>
      <c r="H515" s="10"/>
      <c r="J515" s="10"/>
    </row>
    <row r="516" spans="2:10" ht="12.5" x14ac:dyDescent="0.25">
      <c r="B516" s="3"/>
      <c r="D516" s="10"/>
      <c r="F516" s="10"/>
      <c r="H516" s="10"/>
      <c r="J516" s="10"/>
    </row>
    <row r="517" spans="2:10" ht="12.5" x14ac:dyDescent="0.25">
      <c r="B517" s="3"/>
      <c r="D517" s="10"/>
      <c r="F517" s="10"/>
      <c r="H517" s="10"/>
      <c r="J517" s="10"/>
    </row>
    <row r="518" spans="2:10" ht="12.5" x14ac:dyDescent="0.25">
      <c r="B518" s="3"/>
      <c r="D518" s="10"/>
      <c r="F518" s="10"/>
      <c r="H518" s="10"/>
      <c r="J518" s="10"/>
    </row>
    <row r="519" spans="2:10" ht="12.5" x14ac:dyDescent="0.25">
      <c r="B519" s="3"/>
      <c r="D519" s="10"/>
      <c r="F519" s="10"/>
      <c r="H519" s="10"/>
      <c r="J519" s="10"/>
    </row>
    <row r="520" spans="2:10" ht="12.5" x14ac:dyDescent="0.25">
      <c r="B520" s="3"/>
      <c r="D520" s="10"/>
      <c r="F520" s="10"/>
      <c r="H520" s="10"/>
      <c r="J520" s="10"/>
    </row>
    <row r="521" spans="2:10" ht="12.5" x14ac:dyDescent="0.25">
      <c r="B521" s="3"/>
      <c r="D521" s="10"/>
      <c r="F521" s="10"/>
      <c r="H521" s="10"/>
      <c r="J521" s="10"/>
    </row>
    <row r="522" spans="2:10" ht="12.5" x14ac:dyDescent="0.25">
      <c r="B522" s="3"/>
      <c r="D522" s="10"/>
      <c r="F522" s="10"/>
      <c r="H522" s="10"/>
      <c r="J522" s="10"/>
    </row>
    <row r="523" spans="2:10" ht="12.5" x14ac:dyDescent="0.25">
      <c r="B523" s="3"/>
      <c r="D523" s="10"/>
      <c r="F523" s="10"/>
      <c r="H523" s="10"/>
      <c r="J523" s="10"/>
    </row>
    <row r="524" spans="2:10" ht="12.5" x14ac:dyDescent="0.25">
      <c r="B524" s="3"/>
      <c r="D524" s="10"/>
      <c r="F524" s="10"/>
      <c r="H524" s="10"/>
      <c r="J524" s="10"/>
    </row>
    <row r="525" spans="2:10" ht="12.5" x14ac:dyDescent="0.25">
      <c r="B525" s="3"/>
      <c r="D525" s="10"/>
      <c r="F525" s="10"/>
      <c r="H525" s="10"/>
      <c r="J525" s="10"/>
    </row>
    <row r="526" spans="2:10" ht="12.5" x14ac:dyDescent="0.25">
      <c r="B526" s="3"/>
      <c r="D526" s="10"/>
      <c r="F526" s="10"/>
      <c r="H526" s="10"/>
      <c r="J526" s="10"/>
    </row>
    <row r="527" spans="2:10" ht="12.5" x14ac:dyDescent="0.25">
      <c r="B527" s="3"/>
      <c r="D527" s="10"/>
      <c r="F527" s="10"/>
      <c r="H527" s="10"/>
      <c r="J527" s="10"/>
    </row>
    <row r="528" spans="2:10" ht="12.5" x14ac:dyDescent="0.25">
      <c r="B528" s="3"/>
      <c r="D528" s="10"/>
      <c r="F528" s="10"/>
      <c r="H528" s="10"/>
      <c r="J528" s="10"/>
    </row>
    <row r="529" spans="2:10" ht="12.5" x14ac:dyDescent="0.25">
      <c r="B529" s="3"/>
      <c r="D529" s="10"/>
      <c r="F529" s="10"/>
      <c r="H529" s="10"/>
      <c r="J529" s="10"/>
    </row>
    <row r="530" spans="2:10" ht="12.5" x14ac:dyDescent="0.25">
      <c r="B530" s="3"/>
      <c r="D530" s="10"/>
      <c r="F530" s="10"/>
      <c r="H530" s="10"/>
      <c r="J530" s="10"/>
    </row>
    <row r="531" spans="2:10" ht="12.5" x14ac:dyDescent="0.25">
      <c r="B531" s="3"/>
      <c r="D531" s="10"/>
      <c r="F531" s="10"/>
      <c r="H531" s="10"/>
      <c r="J531" s="10"/>
    </row>
    <row r="532" spans="2:10" ht="12.5" x14ac:dyDescent="0.25">
      <c r="B532" s="3"/>
      <c r="D532" s="10"/>
      <c r="F532" s="10"/>
      <c r="H532" s="10"/>
      <c r="J532" s="10"/>
    </row>
    <row r="533" spans="2:10" ht="12.5" x14ac:dyDescent="0.25">
      <c r="B533" s="3"/>
      <c r="D533" s="10"/>
      <c r="F533" s="10"/>
      <c r="H533" s="10"/>
      <c r="J533" s="10"/>
    </row>
    <row r="534" spans="2:10" ht="12.5" x14ac:dyDescent="0.25">
      <c r="B534" s="3"/>
      <c r="D534" s="10"/>
      <c r="F534" s="10"/>
      <c r="H534" s="10"/>
      <c r="J534" s="10"/>
    </row>
    <row r="535" spans="2:10" ht="12.5" x14ac:dyDescent="0.25">
      <c r="B535" s="3"/>
      <c r="D535" s="10"/>
      <c r="F535" s="10"/>
      <c r="H535" s="10"/>
      <c r="J535" s="10"/>
    </row>
    <row r="536" spans="2:10" ht="12.5" x14ac:dyDescent="0.25">
      <c r="B536" s="3"/>
      <c r="D536" s="10"/>
      <c r="F536" s="10"/>
      <c r="H536" s="10"/>
      <c r="J536" s="10"/>
    </row>
    <row r="537" spans="2:10" ht="12.5" x14ac:dyDescent="0.25">
      <c r="B537" s="3"/>
      <c r="D537" s="10"/>
      <c r="F537" s="10"/>
      <c r="H537" s="10"/>
      <c r="J537" s="10"/>
    </row>
    <row r="538" spans="2:10" ht="12.5" x14ac:dyDescent="0.25">
      <c r="B538" s="3"/>
      <c r="D538" s="10"/>
      <c r="F538" s="10"/>
      <c r="H538" s="10"/>
      <c r="J538" s="10"/>
    </row>
    <row r="539" spans="2:10" ht="12.5" x14ac:dyDescent="0.25">
      <c r="B539" s="3"/>
      <c r="D539" s="10"/>
      <c r="F539" s="10"/>
      <c r="H539" s="10"/>
      <c r="J539" s="10"/>
    </row>
    <row r="540" spans="2:10" ht="12.5" x14ac:dyDescent="0.25">
      <c r="B540" s="3"/>
      <c r="D540" s="10"/>
      <c r="F540" s="10"/>
      <c r="H540" s="10"/>
      <c r="J540" s="10"/>
    </row>
    <row r="541" spans="2:10" ht="12.5" x14ac:dyDescent="0.25">
      <c r="B541" s="3"/>
      <c r="D541" s="10"/>
      <c r="F541" s="10"/>
      <c r="H541" s="10"/>
      <c r="J541" s="10"/>
    </row>
    <row r="542" spans="2:10" ht="12.5" x14ac:dyDescent="0.25">
      <c r="B542" s="3"/>
      <c r="D542" s="10"/>
      <c r="F542" s="10"/>
      <c r="H542" s="10"/>
      <c r="J542" s="10"/>
    </row>
    <row r="543" spans="2:10" ht="12.5" x14ac:dyDescent="0.25">
      <c r="B543" s="3"/>
      <c r="D543" s="10"/>
      <c r="F543" s="10"/>
      <c r="H543" s="10"/>
      <c r="J543" s="10"/>
    </row>
    <row r="544" spans="2:10" ht="12.5" x14ac:dyDescent="0.25">
      <c r="B544" s="3"/>
      <c r="D544" s="10"/>
      <c r="F544" s="10"/>
      <c r="H544" s="10"/>
      <c r="J544" s="10"/>
    </row>
    <row r="545" spans="2:10" ht="12.5" x14ac:dyDescent="0.25">
      <c r="B545" s="3"/>
      <c r="D545" s="10"/>
      <c r="F545" s="10"/>
      <c r="H545" s="10"/>
      <c r="J545" s="10"/>
    </row>
    <row r="546" spans="2:10" ht="12.5" x14ac:dyDescent="0.25">
      <c r="B546" s="3"/>
      <c r="D546" s="10"/>
      <c r="F546" s="10"/>
      <c r="H546" s="10"/>
      <c r="J546" s="10"/>
    </row>
    <row r="547" spans="2:10" ht="12.5" x14ac:dyDescent="0.25">
      <c r="B547" s="3"/>
      <c r="D547" s="10"/>
      <c r="F547" s="10"/>
      <c r="H547" s="10"/>
      <c r="J547" s="10"/>
    </row>
    <row r="548" spans="2:10" ht="12.5" x14ac:dyDescent="0.25">
      <c r="B548" s="3"/>
      <c r="D548" s="10"/>
      <c r="F548" s="10"/>
      <c r="H548" s="10"/>
      <c r="J548" s="10"/>
    </row>
    <row r="549" spans="2:10" ht="12.5" x14ac:dyDescent="0.25">
      <c r="B549" s="3"/>
      <c r="D549" s="10"/>
      <c r="F549" s="10"/>
      <c r="H549" s="10"/>
      <c r="J549" s="10"/>
    </row>
    <row r="550" spans="2:10" ht="12.5" x14ac:dyDescent="0.25">
      <c r="B550" s="3"/>
      <c r="D550" s="10"/>
      <c r="F550" s="10"/>
      <c r="H550" s="10"/>
      <c r="J550" s="10"/>
    </row>
    <row r="551" spans="2:10" ht="12.5" x14ac:dyDescent="0.25">
      <c r="B551" s="3"/>
      <c r="D551" s="10"/>
      <c r="F551" s="10"/>
      <c r="H551" s="10"/>
      <c r="J551" s="10"/>
    </row>
    <row r="552" spans="2:10" ht="12.5" x14ac:dyDescent="0.25">
      <c r="B552" s="3"/>
      <c r="D552" s="10"/>
      <c r="F552" s="10"/>
      <c r="H552" s="10"/>
      <c r="J552" s="10"/>
    </row>
    <row r="553" spans="2:10" ht="12.5" x14ac:dyDescent="0.25">
      <c r="B553" s="3"/>
      <c r="D553" s="10"/>
      <c r="F553" s="10"/>
      <c r="H553" s="10"/>
      <c r="J553" s="10"/>
    </row>
    <row r="554" spans="2:10" ht="12.5" x14ac:dyDescent="0.25">
      <c r="B554" s="3"/>
      <c r="D554" s="10"/>
      <c r="F554" s="10"/>
      <c r="H554" s="10"/>
      <c r="J554" s="10"/>
    </row>
    <row r="555" spans="2:10" ht="12.5" x14ac:dyDescent="0.25">
      <c r="B555" s="3"/>
      <c r="D555" s="10"/>
      <c r="F555" s="10"/>
      <c r="H555" s="10"/>
      <c r="J555" s="10"/>
    </row>
    <row r="556" spans="2:10" ht="12.5" x14ac:dyDescent="0.25">
      <c r="B556" s="3"/>
      <c r="D556" s="10"/>
      <c r="F556" s="10"/>
      <c r="H556" s="10"/>
      <c r="J556" s="10"/>
    </row>
    <row r="557" spans="2:10" ht="12.5" x14ac:dyDescent="0.25">
      <c r="B557" s="3"/>
      <c r="D557" s="10"/>
      <c r="F557" s="10"/>
      <c r="H557" s="10"/>
      <c r="J557" s="10"/>
    </row>
    <row r="558" spans="2:10" ht="12.5" x14ac:dyDescent="0.25">
      <c r="B558" s="3"/>
      <c r="D558" s="10"/>
      <c r="F558" s="10"/>
      <c r="H558" s="10"/>
      <c r="J558" s="10"/>
    </row>
    <row r="559" spans="2:10" ht="12.5" x14ac:dyDescent="0.25">
      <c r="B559" s="3"/>
      <c r="D559" s="10"/>
      <c r="F559" s="10"/>
      <c r="H559" s="10"/>
      <c r="J559" s="10"/>
    </row>
    <row r="560" spans="2:10" ht="12.5" x14ac:dyDescent="0.25">
      <c r="B560" s="3"/>
      <c r="D560" s="10"/>
      <c r="F560" s="10"/>
      <c r="H560" s="10"/>
      <c r="J560" s="10"/>
    </row>
    <row r="561" spans="2:10" ht="12.5" x14ac:dyDescent="0.25">
      <c r="B561" s="3"/>
      <c r="D561" s="10"/>
      <c r="F561" s="10"/>
      <c r="H561" s="10"/>
      <c r="J561" s="10"/>
    </row>
    <row r="562" spans="2:10" ht="12.5" x14ac:dyDescent="0.25">
      <c r="B562" s="3"/>
      <c r="D562" s="10"/>
      <c r="F562" s="10"/>
      <c r="H562" s="10"/>
      <c r="J562" s="10"/>
    </row>
    <row r="563" spans="2:10" ht="12.5" x14ac:dyDescent="0.25">
      <c r="B563" s="3"/>
      <c r="D563" s="10"/>
      <c r="F563" s="10"/>
      <c r="H563" s="10"/>
      <c r="J563" s="10"/>
    </row>
    <row r="564" spans="2:10" ht="12.5" x14ac:dyDescent="0.25">
      <c r="B564" s="3"/>
      <c r="D564" s="10"/>
      <c r="F564" s="10"/>
      <c r="H564" s="10"/>
      <c r="J564" s="10"/>
    </row>
    <row r="565" spans="2:10" ht="12.5" x14ac:dyDescent="0.25">
      <c r="B565" s="3"/>
      <c r="D565" s="10"/>
      <c r="F565" s="10"/>
      <c r="H565" s="10"/>
      <c r="J565" s="10"/>
    </row>
    <row r="566" spans="2:10" ht="12.5" x14ac:dyDescent="0.25">
      <c r="B566" s="3"/>
      <c r="D566" s="10"/>
      <c r="F566" s="10"/>
      <c r="H566" s="10"/>
      <c r="J566" s="10"/>
    </row>
    <row r="567" spans="2:10" ht="12.5" x14ac:dyDescent="0.25">
      <c r="B567" s="3"/>
      <c r="D567" s="10"/>
      <c r="F567" s="10"/>
      <c r="H567" s="10"/>
      <c r="J567" s="10"/>
    </row>
    <row r="568" spans="2:10" ht="12.5" x14ac:dyDescent="0.25">
      <c r="B568" s="3"/>
      <c r="D568" s="10"/>
      <c r="F568" s="10"/>
      <c r="H568" s="10"/>
      <c r="J568" s="10"/>
    </row>
    <row r="569" spans="2:10" ht="12.5" x14ac:dyDescent="0.25">
      <c r="B569" s="3"/>
      <c r="D569" s="10"/>
      <c r="F569" s="10"/>
      <c r="H569" s="10"/>
      <c r="J569" s="10"/>
    </row>
    <row r="570" spans="2:10" ht="12.5" x14ac:dyDescent="0.25">
      <c r="B570" s="3"/>
      <c r="D570" s="10"/>
      <c r="F570" s="10"/>
      <c r="H570" s="10"/>
      <c r="J570" s="10"/>
    </row>
    <row r="571" spans="2:10" ht="12.5" x14ac:dyDescent="0.25">
      <c r="B571" s="3"/>
      <c r="D571" s="10"/>
      <c r="F571" s="10"/>
      <c r="H571" s="10"/>
      <c r="J571" s="10"/>
    </row>
    <row r="572" spans="2:10" ht="12.5" x14ac:dyDescent="0.25">
      <c r="B572" s="3"/>
      <c r="D572" s="10"/>
      <c r="F572" s="10"/>
      <c r="H572" s="10"/>
      <c r="J572" s="10"/>
    </row>
    <row r="573" spans="2:10" ht="12.5" x14ac:dyDescent="0.25">
      <c r="B573" s="3"/>
      <c r="D573" s="10"/>
      <c r="F573" s="10"/>
      <c r="H573" s="10"/>
      <c r="J573" s="10"/>
    </row>
    <row r="574" spans="2:10" ht="12.5" x14ac:dyDescent="0.25">
      <c r="B574" s="3"/>
      <c r="D574" s="10"/>
      <c r="F574" s="10"/>
      <c r="H574" s="10"/>
      <c r="J574" s="10"/>
    </row>
    <row r="575" spans="2:10" ht="12.5" x14ac:dyDescent="0.25">
      <c r="B575" s="3"/>
      <c r="D575" s="10"/>
      <c r="F575" s="10"/>
      <c r="H575" s="10"/>
      <c r="J575" s="10"/>
    </row>
    <row r="576" spans="2:10" ht="12.5" x14ac:dyDescent="0.25">
      <c r="B576" s="3"/>
      <c r="D576" s="10"/>
      <c r="F576" s="10"/>
      <c r="H576" s="10"/>
      <c r="J576" s="10"/>
    </row>
    <row r="577" spans="2:10" ht="12.5" x14ac:dyDescent="0.25">
      <c r="B577" s="3"/>
      <c r="D577" s="10"/>
      <c r="F577" s="10"/>
      <c r="H577" s="10"/>
      <c r="J577" s="10"/>
    </row>
    <row r="578" spans="2:10" ht="12.5" x14ac:dyDescent="0.25">
      <c r="B578" s="3"/>
      <c r="D578" s="10"/>
      <c r="F578" s="10"/>
      <c r="H578" s="10"/>
      <c r="J578" s="10"/>
    </row>
    <row r="579" spans="2:10" ht="12.5" x14ac:dyDescent="0.25">
      <c r="B579" s="3"/>
      <c r="D579" s="10"/>
      <c r="F579" s="10"/>
      <c r="H579" s="10"/>
      <c r="J579" s="10"/>
    </row>
    <row r="580" spans="2:10" ht="12.5" x14ac:dyDescent="0.25">
      <c r="B580" s="3"/>
      <c r="D580" s="10"/>
      <c r="F580" s="10"/>
      <c r="H580" s="10"/>
      <c r="J580" s="10"/>
    </row>
    <row r="581" spans="2:10" ht="12.5" x14ac:dyDescent="0.25">
      <c r="B581" s="3"/>
      <c r="D581" s="10"/>
      <c r="F581" s="10"/>
      <c r="H581" s="10"/>
      <c r="J581" s="10"/>
    </row>
    <row r="582" spans="2:10" ht="12.5" x14ac:dyDescent="0.25">
      <c r="B582" s="3"/>
      <c r="D582" s="10"/>
      <c r="F582" s="10"/>
      <c r="H582" s="10"/>
      <c r="J582" s="10"/>
    </row>
    <row r="583" spans="2:10" ht="12.5" x14ac:dyDescent="0.25">
      <c r="B583" s="3"/>
      <c r="D583" s="10"/>
      <c r="F583" s="10"/>
      <c r="H583" s="10"/>
      <c r="J583" s="10"/>
    </row>
    <row r="584" spans="2:10" ht="12.5" x14ac:dyDescent="0.25">
      <c r="B584" s="3"/>
      <c r="D584" s="10"/>
      <c r="F584" s="10"/>
      <c r="H584" s="10"/>
      <c r="J584" s="10"/>
    </row>
    <row r="585" spans="2:10" ht="12.5" x14ac:dyDescent="0.25">
      <c r="B585" s="3"/>
      <c r="D585" s="10"/>
      <c r="F585" s="10"/>
      <c r="H585" s="10"/>
      <c r="J585" s="10"/>
    </row>
    <row r="586" spans="2:10" ht="12.5" x14ac:dyDescent="0.25">
      <c r="B586" s="3"/>
      <c r="D586" s="10"/>
      <c r="F586" s="10"/>
      <c r="H586" s="10"/>
      <c r="J586" s="10"/>
    </row>
    <row r="587" spans="2:10" ht="12.5" x14ac:dyDescent="0.25">
      <c r="B587" s="3"/>
      <c r="D587" s="10"/>
      <c r="F587" s="10"/>
      <c r="H587" s="10"/>
      <c r="J587" s="10"/>
    </row>
    <row r="588" spans="2:10" ht="12.5" x14ac:dyDescent="0.25">
      <c r="B588" s="3"/>
      <c r="D588" s="10"/>
      <c r="F588" s="10"/>
      <c r="H588" s="10"/>
      <c r="J588" s="10"/>
    </row>
    <row r="589" spans="2:10" ht="12.5" x14ac:dyDescent="0.25">
      <c r="B589" s="3"/>
      <c r="D589" s="10"/>
      <c r="F589" s="10"/>
      <c r="H589" s="10"/>
      <c r="J589" s="10"/>
    </row>
    <row r="590" spans="2:10" ht="12.5" x14ac:dyDescent="0.25">
      <c r="B590" s="3"/>
      <c r="D590" s="10"/>
      <c r="F590" s="10"/>
      <c r="H590" s="10"/>
      <c r="J590" s="10"/>
    </row>
    <row r="591" spans="2:10" ht="12.5" x14ac:dyDescent="0.25">
      <c r="B591" s="3"/>
      <c r="D591" s="10"/>
      <c r="F591" s="10"/>
      <c r="H591" s="10"/>
      <c r="J591" s="10"/>
    </row>
    <row r="592" spans="2:10" ht="12.5" x14ac:dyDescent="0.25">
      <c r="B592" s="3"/>
      <c r="D592" s="10"/>
      <c r="F592" s="10"/>
      <c r="H592" s="10"/>
      <c r="J592" s="10"/>
    </row>
    <row r="593" spans="2:10" ht="12.5" x14ac:dyDescent="0.25">
      <c r="B593" s="3"/>
      <c r="D593" s="10"/>
      <c r="F593" s="10"/>
      <c r="H593" s="10"/>
      <c r="J593" s="10"/>
    </row>
    <row r="594" spans="2:10" ht="12.5" x14ac:dyDescent="0.25">
      <c r="B594" s="3"/>
      <c r="D594" s="10"/>
      <c r="F594" s="10"/>
      <c r="H594" s="10"/>
      <c r="J594" s="10"/>
    </row>
    <row r="595" spans="2:10" ht="12.5" x14ac:dyDescent="0.25">
      <c r="B595" s="3"/>
      <c r="D595" s="10"/>
      <c r="F595" s="10"/>
      <c r="H595" s="10"/>
      <c r="J595" s="10"/>
    </row>
    <row r="596" spans="2:10" ht="12.5" x14ac:dyDescent="0.25">
      <c r="B596" s="3"/>
      <c r="D596" s="10"/>
      <c r="F596" s="10"/>
      <c r="H596" s="10"/>
      <c r="J596" s="10"/>
    </row>
    <row r="597" spans="2:10" ht="12.5" x14ac:dyDescent="0.25">
      <c r="B597" s="3"/>
      <c r="D597" s="10"/>
      <c r="F597" s="10"/>
      <c r="H597" s="10"/>
      <c r="J597" s="10"/>
    </row>
    <row r="598" spans="2:10" ht="12.5" x14ac:dyDescent="0.25">
      <c r="B598" s="3"/>
      <c r="D598" s="10"/>
      <c r="F598" s="10"/>
      <c r="H598" s="10"/>
      <c r="J598" s="10"/>
    </row>
    <row r="599" spans="2:10" ht="12.5" x14ac:dyDescent="0.25">
      <c r="B599" s="3"/>
      <c r="D599" s="10"/>
      <c r="F599" s="10"/>
      <c r="H599" s="10"/>
      <c r="J599" s="10"/>
    </row>
    <row r="600" spans="2:10" ht="12.5" x14ac:dyDescent="0.25">
      <c r="B600" s="3"/>
      <c r="D600" s="10"/>
      <c r="F600" s="10"/>
      <c r="H600" s="10"/>
      <c r="J600" s="10"/>
    </row>
    <row r="601" spans="2:10" ht="12.5" x14ac:dyDescent="0.25">
      <c r="B601" s="3"/>
      <c r="D601" s="10"/>
      <c r="F601" s="10"/>
      <c r="H601" s="10"/>
      <c r="J601" s="10"/>
    </row>
    <row r="602" spans="2:10" ht="12.5" x14ac:dyDescent="0.25">
      <c r="B602" s="3"/>
      <c r="D602" s="10"/>
      <c r="F602" s="10"/>
      <c r="H602" s="10"/>
      <c r="J602" s="10"/>
    </row>
    <row r="603" spans="2:10" ht="12.5" x14ac:dyDescent="0.25">
      <c r="B603" s="3"/>
      <c r="D603" s="10"/>
      <c r="F603" s="10"/>
      <c r="H603" s="10"/>
      <c r="J603" s="10"/>
    </row>
    <row r="604" spans="2:10" ht="12.5" x14ac:dyDescent="0.25">
      <c r="B604" s="3"/>
      <c r="D604" s="10"/>
      <c r="F604" s="10"/>
      <c r="H604" s="10"/>
      <c r="J604" s="10"/>
    </row>
    <row r="605" spans="2:10" ht="12.5" x14ac:dyDescent="0.25">
      <c r="B605" s="3"/>
      <c r="D605" s="10"/>
      <c r="F605" s="10"/>
      <c r="H605" s="10"/>
      <c r="J605" s="10"/>
    </row>
    <row r="606" spans="2:10" ht="12.5" x14ac:dyDescent="0.25">
      <c r="B606" s="3"/>
      <c r="D606" s="10"/>
      <c r="F606" s="10"/>
      <c r="H606" s="10"/>
      <c r="J606" s="10"/>
    </row>
    <row r="607" spans="2:10" ht="12.5" x14ac:dyDescent="0.25">
      <c r="B607" s="3"/>
      <c r="D607" s="10"/>
      <c r="F607" s="10"/>
      <c r="H607" s="10"/>
      <c r="J607" s="10"/>
    </row>
    <row r="608" spans="2:10" ht="12.5" x14ac:dyDescent="0.25">
      <c r="B608" s="3"/>
      <c r="D608" s="10"/>
      <c r="F608" s="10"/>
      <c r="H608" s="10"/>
      <c r="J608" s="10"/>
    </row>
    <row r="609" spans="2:10" ht="12.5" x14ac:dyDescent="0.25">
      <c r="B609" s="3"/>
      <c r="D609" s="10"/>
      <c r="F609" s="10"/>
      <c r="H609" s="10"/>
      <c r="J609" s="10"/>
    </row>
    <row r="610" spans="2:10" ht="12.5" x14ac:dyDescent="0.25">
      <c r="B610" s="3"/>
      <c r="D610" s="10"/>
      <c r="F610" s="10"/>
      <c r="H610" s="10"/>
      <c r="J610" s="10"/>
    </row>
    <row r="611" spans="2:10" ht="12.5" x14ac:dyDescent="0.25">
      <c r="B611" s="3"/>
      <c r="D611" s="10"/>
      <c r="F611" s="10"/>
      <c r="H611" s="10"/>
      <c r="J611" s="10"/>
    </row>
    <row r="612" spans="2:10" ht="12.5" x14ac:dyDescent="0.25">
      <c r="B612" s="3"/>
      <c r="D612" s="10"/>
      <c r="F612" s="10"/>
      <c r="H612" s="10"/>
      <c r="J612" s="10"/>
    </row>
    <row r="613" spans="2:10" ht="12.5" x14ac:dyDescent="0.25">
      <c r="B613" s="3"/>
      <c r="D613" s="10"/>
      <c r="F613" s="10"/>
      <c r="H613" s="10"/>
      <c r="J613" s="10"/>
    </row>
    <row r="614" spans="2:10" ht="12.5" x14ac:dyDescent="0.25">
      <c r="B614" s="3"/>
      <c r="D614" s="10"/>
      <c r="F614" s="10"/>
      <c r="H614" s="10"/>
      <c r="J614" s="10"/>
    </row>
    <row r="615" spans="2:10" ht="12.5" x14ac:dyDescent="0.25">
      <c r="B615" s="3"/>
      <c r="D615" s="10"/>
      <c r="F615" s="10"/>
      <c r="H615" s="10"/>
      <c r="J615" s="10"/>
    </row>
    <row r="616" spans="2:10" ht="12.5" x14ac:dyDescent="0.25">
      <c r="B616" s="3"/>
      <c r="D616" s="10"/>
      <c r="F616" s="10"/>
      <c r="H616" s="10"/>
      <c r="J616" s="10"/>
    </row>
    <row r="617" spans="2:10" ht="12.5" x14ac:dyDescent="0.25">
      <c r="B617" s="3"/>
      <c r="D617" s="10"/>
      <c r="F617" s="10"/>
      <c r="H617" s="10"/>
      <c r="J617" s="10"/>
    </row>
    <row r="618" spans="2:10" ht="12.5" x14ac:dyDescent="0.25">
      <c r="B618" s="3"/>
      <c r="D618" s="10"/>
      <c r="F618" s="10"/>
      <c r="H618" s="10"/>
      <c r="J618" s="10"/>
    </row>
    <row r="619" spans="2:10" ht="12.5" x14ac:dyDescent="0.25">
      <c r="B619" s="3"/>
      <c r="D619" s="10"/>
      <c r="F619" s="10"/>
      <c r="H619" s="10"/>
      <c r="J619" s="10"/>
    </row>
    <row r="620" spans="2:10" ht="12.5" x14ac:dyDescent="0.25">
      <c r="B620" s="3"/>
      <c r="D620" s="10"/>
      <c r="F620" s="10"/>
      <c r="H620" s="10"/>
      <c r="J620" s="10"/>
    </row>
    <row r="621" spans="2:10" ht="12.5" x14ac:dyDescent="0.25">
      <c r="B621" s="3"/>
      <c r="D621" s="10"/>
      <c r="F621" s="10"/>
      <c r="H621" s="10"/>
      <c r="J621" s="10"/>
    </row>
    <row r="622" spans="2:10" ht="12.5" x14ac:dyDescent="0.25">
      <c r="B622" s="3"/>
      <c r="D622" s="10"/>
      <c r="F622" s="10"/>
      <c r="H622" s="10"/>
      <c r="J622" s="10"/>
    </row>
    <row r="623" spans="2:10" ht="12.5" x14ac:dyDescent="0.25">
      <c r="B623" s="3"/>
      <c r="D623" s="10"/>
      <c r="F623" s="10"/>
      <c r="H623" s="10"/>
      <c r="J623" s="10"/>
    </row>
    <row r="624" spans="2:10" ht="12.5" x14ac:dyDescent="0.25">
      <c r="B624" s="3"/>
      <c r="D624" s="10"/>
      <c r="F624" s="10"/>
      <c r="H624" s="10"/>
      <c r="J624" s="10"/>
    </row>
    <row r="625" spans="2:10" ht="12.5" x14ac:dyDescent="0.25">
      <c r="B625" s="3"/>
      <c r="D625" s="10"/>
      <c r="F625" s="10"/>
      <c r="H625" s="10"/>
      <c r="J625" s="10"/>
    </row>
    <row r="626" spans="2:10" ht="12.5" x14ac:dyDescent="0.25">
      <c r="B626" s="3"/>
      <c r="D626" s="10"/>
      <c r="F626" s="10"/>
      <c r="H626" s="10"/>
      <c r="J626" s="10"/>
    </row>
    <row r="627" spans="2:10" ht="12.5" x14ac:dyDescent="0.25">
      <c r="B627" s="3"/>
      <c r="D627" s="10"/>
      <c r="F627" s="10"/>
      <c r="H627" s="10"/>
      <c r="J627" s="10"/>
    </row>
    <row r="628" spans="2:10" ht="12.5" x14ac:dyDescent="0.25">
      <c r="B628" s="3"/>
      <c r="D628" s="10"/>
      <c r="F628" s="10"/>
      <c r="H628" s="10"/>
      <c r="J628" s="10"/>
    </row>
    <row r="629" spans="2:10" ht="12.5" x14ac:dyDescent="0.25">
      <c r="B629" s="3"/>
      <c r="D629" s="10"/>
      <c r="F629" s="10"/>
      <c r="H629" s="10"/>
      <c r="J629" s="10"/>
    </row>
    <row r="630" spans="2:10" ht="12.5" x14ac:dyDescent="0.25">
      <c r="B630" s="3"/>
      <c r="D630" s="10"/>
      <c r="F630" s="10"/>
      <c r="H630" s="10"/>
      <c r="J630" s="10"/>
    </row>
    <row r="631" spans="2:10" ht="12.5" x14ac:dyDescent="0.25">
      <c r="B631" s="3"/>
      <c r="D631" s="10"/>
      <c r="F631" s="10"/>
      <c r="H631" s="10"/>
      <c r="J631" s="10"/>
    </row>
    <row r="632" spans="2:10" ht="12.5" x14ac:dyDescent="0.25">
      <c r="B632" s="3"/>
      <c r="D632" s="10"/>
      <c r="F632" s="10"/>
      <c r="H632" s="10"/>
      <c r="J632" s="10"/>
    </row>
    <row r="633" spans="2:10" ht="12.5" x14ac:dyDescent="0.25">
      <c r="B633" s="3"/>
      <c r="D633" s="10"/>
      <c r="F633" s="10"/>
      <c r="H633" s="10"/>
      <c r="J633" s="10"/>
    </row>
    <row r="634" spans="2:10" ht="12.5" x14ac:dyDescent="0.25">
      <c r="B634" s="3"/>
      <c r="D634" s="10"/>
      <c r="F634" s="10"/>
      <c r="H634" s="10"/>
      <c r="J634" s="10"/>
    </row>
    <row r="635" spans="2:10" ht="12.5" x14ac:dyDescent="0.25">
      <c r="B635" s="3"/>
      <c r="D635" s="10"/>
      <c r="F635" s="10"/>
      <c r="H635" s="10"/>
      <c r="J635" s="10"/>
    </row>
    <row r="636" spans="2:10" ht="12.5" x14ac:dyDescent="0.25">
      <c r="B636" s="3"/>
      <c r="D636" s="10"/>
      <c r="F636" s="10"/>
      <c r="H636" s="10"/>
      <c r="J636" s="10"/>
    </row>
    <row r="637" spans="2:10" ht="12.5" x14ac:dyDescent="0.25">
      <c r="B637" s="3"/>
      <c r="D637" s="10"/>
      <c r="F637" s="10"/>
      <c r="H637" s="10"/>
      <c r="J637" s="10"/>
    </row>
    <row r="638" spans="2:10" ht="12.5" x14ac:dyDescent="0.25">
      <c r="B638" s="3"/>
      <c r="D638" s="10"/>
      <c r="F638" s="10"/>
      <c r="H638" s="10"/>
      <c r="J638" s="10"/>
    </row>
    <row r="639" spans="2:10" ht="12.5" x14ac:dyDescent="0.25">
      <c r="B639" s="3"/>
      <c r="D639" s="10"/>
      <c r="F639" s="10"/>
      <c r="H639" s="10"/>
      <c r="J639" s="10"/>
    </row>
    <row r="640" spans="2:10" ht="12.5" x14ac:dyDescent="0.25">
      <c r="B640" s="3"/>
      <c r="D640" s="10"/>
      <c r="F640" s="10"/>
      <c r="H640" s="10"/>
      <c r="J640" s="10"/>
    </row>
    <row r="641" spans="2:10" ht="12.5" x14ac:dyDescent="0.25">
      <c r="B641" s="3"/>
      <c r="D641" s="10"/>
      <c r="F641" s="10"/>
      <c r="H641" s="10"/>
      <c r="J641" s="10"/>
    </row>
    <row r="642" spans="2:10" ht="12.5" x14ac:dyDescent="0.25">
      <c r="B642" s="3"/>
      <c r="D642" s="10"/>
      <c r="F642" s="10"/>
      <c r="H642" s="10"/>
      <c r="J642" s="10"/>
    </row>
    <row r="643" spans="2:10" ht="12.5" x14ac:dyDescent="0.25">
      <c r="B643" s="3"/>
      <c r="D643" s="10"/>
      <c r="F643" s="10"/>
      <c r="H643" s="10"/>
      <c r="J643" s="10"/>
    </row>
    <row r="644" spans="2:10" ht="12.5" x14ac:dyDescent="0.25">
      <c r="B644" s="3"/>
      <c r="D644" s="10"/>
      <c r="F644" s="10"/>
      <c r="H644" s="10"/>
      <c r="J644" s="10"/>
    </row>
    <row r="645" spans="2:10" ht="12.5" x14ac:dyDescent="0.25">
      <c r="B645" s="3"/>
      <c r="D645" s="10"/>
      <c r="F645" s="10"/>
      <c r="H645" s="10"/>
      <c r="J645" s="10"/>
    </row>
    <row r="646" spans="2:10" ht="12.5" x14ac:dyDescent="0.25">
      <c r="B646" s="3"/>
      <c r="D646" s="10"/>
      <c r="F646" s="10"/>
      <c r="H646" s="10"/>
      <c r="J646" s="10"/>
    </row>
    <row r="647" spans="2:10" ht="12.5" x14ac:dyDescent="0.25">
      <c r="B647" s="3"/>
      <c r="D647" s="10"/>
      <c r="F647" s="10"/>
      <c r="H647" s="10"/>
      <c r="J647" s="10"/>
    </row>
    <row r="648" spans="2:10" ht="12.5" x14ac:dyDescent="0.25">
      <c r="B648" s="3"/>
      <c r="D648" s="10"/>
      <c r="F648" s="10"/>
      <c r="H648" s="10"/>
      <c r="J648" s="10"/>
    </row>
    <row r="649" spans="2:10" ht="12.5" x14ac:dyDescent="0.25">
      <c r="B649" s="3"/>
      <c r="D649" s="10"/>
      <c r="F649" s="10"/>
      <c r="H649" s="10"/>
      <c r="J649" s="10"/>
    </row>
    <row r="650" spans="2:10" ht="12.5" x14ac:dyDescent="0.25">
      <c r="B650" s="3"/>
      <c r="D650" s="10"/>
      <c r="F650" s="10"/>
      <c r="H650" s="10"/>
      <c r="J650" s="10"/>
    </row>
    <row r="651" spans="2:10" ht="12.5" x14ac:dyDescent="0.25">
      <c r="B651" s="3"/>
      <c r="D651" s="10"/>
      <c r="F651" s="10"/>
      <c r="H651" s="10"/>
      <c r="J651" s="10"/>
    </row>
    <row r="652" spans="2:10" ht="12.5" x14ac:dyDescent="0.25">
      <c r="B652" s="3"/>
      <c r="D652" s="10"/>
      <c r="F652" s="10"/>
      <c r="H652" s="10"/>
      <c r="J652" s="10"/>
    </row>
    <row r="653" spans="2:10" ht="12.5" x14ac:dyDescent="0.25">
      <c r="B653" s="3"/>
      <c r="D653" s="10"/>
      <c r="F653" s="10"/>
      <c r="H653" s="10"/>
      <c r="J653" s="10"/>
    </row>
    <row r="654" spans="2:10" ht="12.5" x14ac:dyDescent="0.25">
      <c r="B654" s="3"/>
      <c r="D654" s="10"/>
      <c r="F654" s="10"/>
      <c r="H654" s="10"/>
      <c r="J654" s="10"/>
    </row>
    <row r="655" spans="2:10" ht="12.5" x14ac:dyDescent="0.25">
      <c r="B655" s="3"/>
      <c r="D655" s="10"/>
      <c r="F655" s="10"/>
      <c r="H655" s="10"/>
      <c r="J655" s="10"/>
    </row>
    <row r="656" spans="2:10" ht="12.5" x14ac:dyDescent="0.25">
      <c r="B656" s="3"/>
      <c r="D656" s="10"/>
      <c r="F656" s="10"/>
      <c r="H656" s="10"/>
      <c r="J656" s="10"/>
    </row>
    <row r="657" spans="2:10" ht="12.5" x14ac:dyDescent="0.25">
      <c r="B657" s="3"/>
      <c r="D657" s="10"/>
      <c r="F657" s="10"/>
      <c r="H657" s="10"/>
      <c r="J657" s="10"/>
    </row>
    <row r="658" spans="2:10" ht="12.5" x14ac:dyDescent="0.25">
      <c r="B658" s="3"/>
      <c r="D658" s="10"/>
      <c r="F658" s="10"/>
      <c r="H658" s="10"/>
      <c r="J658" s="10"/>
    </row>
    <row r="659" spans="2:10" ht="12.5" x14ac:dyDescent="0.25">
      <c r="B659" s="3"/>
      <c r="D659" s="10"/>
      <c r="F659" s="10"/>
      <c r="H659" s="10"/>
      <c r="J659" s="10"/>
    </row>
    <row r="660" spans="2:10" ht="12.5" x14ac:dyDescent="0.25">
      <c r="B660" s="3"/>
      <c r="D660" s="10"/>
      <c r="F660" s="10"/>
      <c r="H660" s="10"/>
      <c r="J660" s="10"/>
    </row>
    <row r="661" spans="2:10" ht="12.5" x14ac:dyDescent="0.25">
      <c r="B661" s="3"/>
      <c r="D661" s="10"/>
      <c r="F661" s="10"/>
      <c r="H661" s="10"/>
      <c r="J661" s="10"/>
    </row>
    <row r="662" spans="2:10" ht="12.5" x14ac:dyDescent="0.25">
      <c r="B662" s="3"/>
      <c r="D662" s="10"/>
      <c r="F662" s="10"/>
      <c r="H662" s="10"/>
      <c r="J662" s="10"/>
    </row>
    <row r="663" spans="2:10" ht="12.5" x14ac:dyDescent="0.25">
      <c r="B663" s="3"/>
      <c r="D663" s="10"/>
      <c r="F663" s="10"/>
      <c r="H663" s="10"/>
      <c r="J663" s="10"/>
    </row>
    <row r="664" spans="2:10" ht="12.5" x14ac:dyDescent="0.25">
      <c r="B664" s="3"/>
      <c r="D664" s="10"/>
      <c r="F664" s="10"/>
      <c r="H664" s="10"/>
      <c r="J664" s="10"/>
    </row>
    <row r="665" spans="2:10" ht="12.5" x14ac:dyDescent="0.25">
      <c r="B665" s="3"/>
      <c r="D665" s="10"/>
      <c r="F665" s="10"/>
      <c r="H665" s="10"/>
      <c r="J665" s="10"/>
    </row>
    <row r="666" spans="2:10" ht="12.5" x14ac:dyDescent="0.25">
      <c r="B666" s="3"/>
      <c r="D666" s="10"/>
      <c r="F666" s="10"/>
      <c r="H666" s="10"/>
      <c r="J666" s="10"/>
    </row>
    <row r="667" spans="2:10" ht="12.5" x14ac:dyDescent="0.25">
      <c r="B667" s="3"/>
      <c r="D667" s="10"/>
      <c r="F667" s="10"/>
      <c r="H667" s="10"/>
      <c r="J667" s="10"/>
    </row>
    <row r="668" spans="2:10" ht="12.5" x14ac:dyDescent="0.25">
      <c r="B668" s="3"/>
      <c r="D668" s="10"/>
      <c r="F668" s="10"/>
      <c r="H668" s="10"/>
      <c r="J668" s="10"/>
    </row>
    <row r="669" spans="2:10" ht="12.5" x14ac:dyDescent="0.25">
      <c r="B669" s="3"/>
      <c r="D669" s="10"/>
      <c r="F669" s="10"/>
      <c r="H669" s="10"/>
      <c r="J669" s="10"/>
    </row>
    <row r="670" spans="2:10" ht="12.5" x14ac:dyDescent="0.25">
      <c r="B670" s="3"/>
      <c r="D670" s="10"/>
      <c r="F670" s="10"/>
      <c r="H670" s="10"/>
      <c r="J670" s="10"/>
    </row>
    <row r="671" spans="2:10" ht="12.5" x14ac:dyDescent="0.25">
      <c r="B671" s="3"/>
      <c r="D671" s="10"/>
      <c r="F671" s="10"/>
      <c r="H671" s="10"/>
      <c r="J671" s="10"/>
    </row>
    <row r="672" spans="2:10" ht="12.5" x14ac:dyDescent="0.25">
      <c r="B672" s="3"/>
      <c r="D672" s="10"/>
      <c r="F672" s="10"/>
      <c r="H672" s="10"/>
      <c r="J672" s="10"/>
    </row>
    <row r="673" spans="2:10" ht="12.5" x14ac:dyDescent="0.25">
      <c r="B673" s="3"/>
      <c r="D673" s="10"/>
      <c r="F673" s="10"/>
      <c r="H673" s="10"/>
      <c r="J673" s="10"/>
    </row>
    <row r="674" spans="2:10" ht="12.5" x14ac:dyDescent="0.25">
      <c r="B674" s="3"/>
      <c r="D674" s="10"/>
      <c r="F674" s="10"/>
      <c r="H674" s="10"/>
      <c r="J674" s="10"/>
    </row>
    <row r="675" spans="2:10" ht="12.5" x14ac:dyDescent="0.25">
      <c r="B675" s="3"/>
      <c r="D675" s="10"/>
      <c r="F675" s="10"/>
      <c r="H675" s="10"/>
      <c r="J675" s="10"/>
    </row>
    <row r="676" spans="2:10" ht="12.5" x14ac:dyDescent="0.25">
      <c r="B676" s="3"/>
      <c r="D676" s="10"/>
      <c r="F676" s="10"/>
      <c r="H676" s="10"/>
      <c r="J676" s="10"/>
    </row>
    <row r="677" spans="2:10" ht="12.5" x14ac:dyDescent="0.25">
      <c r="B677" s="3"/>
      <c r="D677" s="10"/>
      <c r="F677" s="10"/>
      <c r="H677" s="10"/>
      <c r="J677" s="10"/>
    </row>
    <row r="678" spans="2:10" ht="12.5" x14ac:dyDescent="0.25">
      <c r="B678" s="3"/>
      <c r="D678" s="10"/>
      <c r="F678" s="10"/>
      <c r="H678" s="10"/>
      <c r="J678" s="10"/>
    </row>
    <row r="679" spans="2:10" ht="12.5" x14ac:dyDescent="0.25">
      <c r="B679" s="3"/>
      <c r="D679" s="10"/>
      <c r="F679" s="10"/>
      <c r="H679" s="10"/>
      <c r="J679" s="10"/>
    </row>
    <row r="680" spans="2:10" ht="12.5" x14ac:dyDescent="0.25">
      <c r="B680" s="3"/>
      <c r="D680" s="10"/>
      <c r="F680" s="10"/>
      <c r="H680" s="10"/>
      <c r="J680" s="10"/>
    </row>
    <row r="681" spans="2:10" ht="12.5" x14ac:dyDescent="0.25">
      <c r="B681" s="3"/>
      <c r="D681" s="10"/>
      <c r="F681" s="10"/>
      <c r="H681" s="10"/>
      <c r="J681" s="10"/>
    </row>
    <row r="682" spans="2:10" ht="12.5" x14ac:dyDescent="0.25">
      <c r="B682" s="3"/>
      <c r="D682" s="10"/>
      <c r="F682" s="10"/>
      <c r="H682" s="10"/>
      <c r="J682" s="10"/>
    </row>
    <row r="683" spans="2:10" ht="12.5" x14ac:dyDescent="0.25">
      <c r="B683" s="3"/>
      <c r="D683" s="10"/>
      <c r="F683" s="10"/>
      <c r="H683" s="10"/>
      <c r="J683" s="10"/>
    </row>
    <row r="684" spans="2:10" ht="12.5" x14ac:dyDescent="0.25">
      <c r="B684" s="3"/>
      <c r="D684" s="10"/>
      <c r="F684" s="10"/>
      <c r="H684" s="10"/>
      <c r="J684" s="10"/>
    </row>
    <row r="685" spans="2:10" ht="12.5" x14ac:dyDescent="0.25">
      <c r="B685" s="3"/>
      <c r="D685" s="10"/>
      <c r="F685" s="10"/>
      <c r="H685" s="10"/>
      <c r="J685" s="10"/>
    </row>
    <row r="686" spans="2:10" ht="12.5" x14ac:dyDescent="0.25">
      <c r="B686" s="3"/>
      <c r="D686" s="10"/>
      <c r="F686" s="10"/>
      <c r="H686" s="10"/>
      <c r="J686" s="10"/>
    </row>
    <row r="687" spans="2:10" ht="12.5" x14ac:dyDescent="0.25">
      <c r="B687" s="3"/>
      <c r="D687" s="10"/>
      <c r="F687" s="10"/>
      <c r="H687" s="10"/>
      <c r="J687" s="10"/>
    </row>
    <row r="688" spans="2:10" ht="12.5" x14ac:dyDescent="0.25">
      <c r="B688" s="3"/>
      <c r="D688" s="10"/>
      <c r="F688" s="10"/>
      <c r="H688" s="10"/>
      <c r="J688" s="10"/>
    </row>
    <row r="689" spans="2:10" ht="12.5" x14ac:dyDescent="0.25">
      <c r="B689" s="3"/>
      <c r="D689" s="10"/>
      <c r="F689" s="10"/>
      <c r="H689" s="10"/>
      <c r="J689" s="10"/>
    </row>
    <row r="690" spans="2:10" ht="12.5" x14ac:dyDescent="0.25">
      <c r="B690" s="3"/>
      <c r="D690" s="10"/>
      <c r="F690" s="10"/>
      <c r="H690" s="10"/>
      <c r="J690" s="10"/>
    </row>
    <row r="691" spans="2:10" ht="12.5" x14ac:dyDescent="0.25">
      <c r="B691" s="3"/>
      <c r="D691" s="10"/>
      <c r="F691" s="10"/>
      <c r="H691" s="10"/>
      <c r="J691" s="10"/>
    </row>
    <row r="692" spans="2:10" ht="12.5" x14ac:dyDescent="0.25">
      <c r="B692" s="3"/>
      <c r="D692" s="10"/>
      <c r="F692" s="10"/>
      <c r="H692" s="10"/>
      <c r="J692" s="10"/>
    </row>
    <row r="693" spans="2:10" ht="12.5" x14ac:dyDescent="0.25">
      <c r="B693" s="3"/>
      <c r="D693" s="10"/>
      <c r="F693" s="10"/>
      <c r="H693" s="10"/>
      <c r="J693" s="10"/>
    </row>
    <row r="694" spans="2:10" ht="12.5" x14ac:dyDescent="0.25">
      <c r="B694" s="3"/>
      <c r="D694" s="10"/>
      <c r="F694" s="10"/>
      <c r="H694" s="10"/>
      <c r="J694" s="10"/>
    </row>
    <row r="695" spans="2:10" ht="12.5" x14ac:dyDescent="0.25">
      <c r="B695" s="3"/>
      <c r="D695" s="10"/>
      <c r="F695" s="10"/>
      <c r="H695" s="10"/>
      <c r="J695" s="10"/>
    </row>
    <row r="696" spans="2:10" ht="12.5" x14ac:dyDescent="0.25">
      <c r="B696" s="3"/>
      <c r="D696" s="10"/>
      <c r="F696" s="10"/>
      <c r="H696" s="10"/>
      <c r="J696" s="10"/>
    </row>
    <row r="697" spans="2:10" ht="12.5" x14ac:dyDescent="0.25">
      <c r="B697" s="3"/>
      <c r="D697" s="10"/>
      <c r="F697" s="10"/>
      <c r="H697" s="10"/>
      <c r="J697" s="10"/>
    </row>
    <row r="698" spans="2:10" ht="12.5" x14ac:dyDescent="0.25">
      <c r="B698" s="3"/>
      <c r="D698" s="10"/>
      <c r="F698" s="10"/>
      <c r="H698" s="10"/>
      <c r="J698" s="10"/>
    </row>
    <row r="699" spans="2:10" ht="12.5" x14ac:dyDescent="0.25">
      <c r="B699" s="3"/>
      <c r="D699" s="10"/>
      <c r="F699" s="10"/>
      <c r="H699" s="10"/>
      <c r="J699" s="10"/>
    </row>
    <row r="700" spans="2:10" ht="12.5" x14ac:dyDescent="0.25">
      <c r="B700" s="3"/>
      <c r="D700" s="10"/>
      <c r="F700" s="10"/>
      <c r="H700" s="10"/>
      <c r="J700" s="10"/>
    </row>
    <row r="701" spans="2:10" ht="12.5" x14ac:dyDescent="0.25">
      <c r="B701" s="3"/>
      <c r="D701" s="10"/>
      <c r="F701" s="10"/>
      <c r="H701" s="10"/>
      <c r="J701" s="10"/>
    </row>
    <row r="702" spans="2:10" ht="12.5" x14ac:dyDescent="0.25">
      <c r="B702" s="3"/>
      <c r="D702" s="10"/>
      <c r="F702" s="10"/>
      <c r="H702" s="10"/>
      <c r="J702" s="10"/>
    </row>
    <row r="703" spans="2:10" ht="12.5" x14ac:dyDescent="0.25">
      <c r="B703" s="3"/>
      <c r="D703" s="10"/>
      <c r="F703" s="10"/>
      <c r="H703" s="10"/>
      <c r="J703" s="10"/>
    </row>
    <row r="704" spans="2:10" ht="12.5" x14ac:dyDescent="0.25">
      <c r="B704" s="3"/>
      <c r="D704" s="10"/>
      <c r="F704" s="10"/>
      <c r="H704" s="10"/>
      <c r="J704" s="10"/>
    </row>
    <row r="705" spans="2:10" ht="12.5" x14ac:dyDescent="0.25">
      <c r="B705" s="3"/>
      <c r="D705" s="10"/>
      <c r="F705" s="10"/>
      <c r="H705" s="10"/>
      <c r="J705" s="10"/>
    </row>
    <row r="706" spans="2:10" ht="12.5" x14ac:dyDescent="0.25">
      <c r="B706" s="3"/>
      <c r="D706" s="10"/>
      <c r="F706" s="10"/>
      <c r="H706" s="10"/>
      <c r="J706" s="10"/>
    </row>
    <row r="707" spans="2:10" ht="12.5" x14ac:dyDescent="0.25">
      <c r="B707" s="3"/>
      <c r="D707" s="10"/>
      <c r="F707" s="10"/>
      <c r="H707" s="10"/>
      <c r="J707" s="10"/>
    </row>
    <row r="708" spans="2:10" ht="12.5" x14ac:dyDescent="0.25">
      <c r="B708" s="3"/>
      <c r="D708" s="10"/>
      <c r="F708" s="10"/>
      <c r="H708" s="10"/>
      <c r="J708" s="10"/>
    </row>
    <row r="709" spans="2:10" ht="12.5" x14ac:dyDescent="0.25">
      <c r="B709" s="3"/>
      <c r="D709" s="10"/>
      <c r="F709" s="10"/>
      <c r="H709" s="10"/>
      <c r="J709" s="10"/>
    </row>
    <row r="710" spans="2:10" ht="12.5" x14ac:dyDescent="0.25">
      <c r="B710" s="3"/>
      <c r="D710" s="10"/>
      <c r="F710" s="10"/>
      <c r="H710" s="10"/>
      <c r="J710" s="10"/>
    </row>
    <row r="711" spans="2:10" ht="12.5" x14ac:dyDescent="0.25">
      <c r="B711" s="3"/>
      <c r="D711" s="10"/>
      <c r="F711" s="10"/>
      <c r="H711" s="10"/>
      <c r="J711" s="10"/>
    </row>
    <row r="712" spans="2:10" ht="12.5" x14ac:dyDescent="0.25">
      <c r="B712" s="3"/>
      <c r="D712" s="10"/>
      <c r="F712" s="10"/>
      <c r="H712" s="10"/>
      <c r="J712" s="10"/>
    </row>
    <row r="713" spans="2:10" ht="12.5" x14ac:dyDescent="0.25">
      <c r="B713" s="3"/>
      <c r="D713" s="10"/>
      <c r="F713" s="10"/>
      <c r="H713" s="10"/>
      <c r="J713" s="10"/>
    </row>
    <row r="714" spans="2:10" ht="12.5" x14ac:dyDescent="0.25">
      <c r="B714" s="3"/>
      <c r="D714" s="10"/>
      <c r="F714" s="10"/>
      <c r="H714" s="10"/>
      <c r="J714" s="10"/>
    </row>
    <row r="715" spans="2:10" ht="12.5" x14ac:dyDescent="0.25">
      <c r="B715" s="3"/>
      <c r="D715" s="10"/>
      <c r="F715" s="10"/>
      <c r="H715" s="10"/>
      <c r="J715" s="10"/>
    </row>
    <row r="716" spans="2:10" ht="12.5" x14ac:dyDescent="0.25">
      <c r="B716" s="3"/>
      <c r="D716" s="10"/>
      <c r="F716" s="10"/>
      <c r="H716" s="10"/>
      <c r="J716" s="10"/>
    </row>
    <row r="717" spans="2:10" ht="12.5" x14ac:dyDescent="0.25">
      <c r="B717" s="3"/>
      <c r="D717" s="10"/>
      <c r="F717" s="10"/>
      <c r="H717" s="10"/>
      <c r="J717" s="10"/>
    </row>
    <row r="718" spans="2:10" ht="12.5" x14ac:dyDescent="0.25">
      <c r="B718" s="3"/>
      <c r="D718" s="10"/>
      <c r="F718" s="10"/>
      <c r="H718" s="10"/>
      <c r="J718" s="10"/>
    </row>
    <row r="719" spans="2:10" ht="12.5" x14ac:dyDescent="0.25">
      <c r="B719" s="3"/>
      <c r="D719" s="10"/>
      <c r="F719" s="10"/>
      <c r="H719" s="10"/>
      <c r="J719" s="10"/>
    </row>
    <row r="720" spans="2:10" ht="12.5" x14ac:dyDescent="0.25">
      <c r="B720" s="3"/>
      <c r="D720" s="10"/>
      <c r="F720" s="10"/>
      <c r="H720" s="10"/>
      <c r="J720" s="10"/>
    </row>
    <row r="721" spans="2:10" ht="12.5" x14ac:dyDescent="0.25">
      <c r="B721" s="3"/>
      <c r="D721" s="10"/>
      <c r="F721" s="10"/>
      <c r="H721" s="10"/>
      <c r="J721" s="10"/>
    </row>
    <row r="722" spans="2:10" ht="12.5" x14ac:dyDescent="0.25">
      <c r="B722" s="3"/>
      <c r="D722" s="10"/>
      <c r="F722" s="10"/>
      <c r="H722" s="10"/>
      <c r="J722" s="10"/>
    </row>
    <row r="723" spans="2:10" ht="12.5" x14ac:dyDescent="0.25">
      <c r="B723" s="3"/>
      <c r="D723" s="10"/>
      <c r="F723" s="10"/>
      <c r="H723" s="10"/>
      <c r="J723" s="10"/>
    </row>
    <row r="724" spans="2:10" ht="12.5" x14ac:dyDescent="0.25">
      <c r="B724" s="3"/>
      <c r="D724" s="10"/>
      <c r="F724" s="10"/>
      <c r="H724" s="10"/>
      <c r="J724" s="10"/>
    </row>
    <row r="725" spans="2:10" ht="12.5" x14ac:dyDescent="0.25">
      <c r="B725" s="3"/>
      <c r="D725" s="10"/>
      <c r="F725" s="10"/>
      <c r="H725" s="10"/>
      <c r="J725" s="10"/>
    </row>
    <row r="726" spans="2:10" ht="12.5" x14ac:dyDescent="0.25">
      <c r="B726" s="3"/>
      <c r="D726" s="10"/>
      <c r="F726" s="10"/>
      <c r="H726" s="10"/>
      <c r="J726" s="10"/>
    </row>
    <row r="727" spans="2:10" ht="12.5" x14ac:dyDescent="0.25">
      <c r="B727" s="3"/>
      <c r="D727" s="10"/>
      <c r="F727" s="10"/>
      <c r="H727" s="10"/>
      <c r="J727" s="10"/>
    </row>
    <row r="728" spans="2:10" ht="12.5" x14ac:dyDescent="0.25">
      <c r="B728" s="3"/>
      <c r="D728" s="10"/>
      <c r="F728" s="10"/>
      <c r="H728" s="10"/>
      <c r="J728" s="10"/>
    </row>
    <row r="729" spans="2:10" ht="12.5" x14ac:dyDescent="0.25">
      <c r="B729" s="3"/>
      <c r="D729" s="10"/>
      <c r="F729" s="10"/>
      <c r="H729" s="10"/>
      <c r="J729" s="10"/>
    </row>
    <row r="730" spans="2:10" ht="12.5" x14ac:dyDescent="0.25">
      <c r="B730" s="3"/>
      <c r="D730" s="10"/>
      <c r="F730" s="10"/>
      <c r="H730" s="10"/>
      <c r="J730" s="10"/>
    </row>
    <row r="731" spans="2:10" ht="12.5" x14ac:dyDescent="0.25">
      <c r="B731" s="3"/>
      <c r="D731" s="10"/>
      <c r="F731" s="10"/>
      <c r="H731" s="10"/>
      <c r="J731" s="10"/>
    </row>
    <row r="732" spans="2:10" ht="12.5" x14ac:dyDescent="0.25">
      <c r="B732" s="3"/>
      <c r="D732" s="10"/>
      <c r="F732" s="10"/>
      <c r="H732" s="10"/>
      <c r="J732" s="10"/>
    </row>
    <row r="733" spans="2:10" ht="12.5" x14ac:dyDescent="0.25">
      <c r="B733" s="3"/>
      <c r="D733" s="10"/>
      <c r="F733" s="10"/>
      <c r="H733" s="10"/>
      <c r="J733" s="10"/>
    </row>
    <row r="734" spans="2:10" ht="12.5" x14ac:dyDescent="0.25">
      <c r="B734" s="3"/>
      <c r="D734" s="10"/>
      <c r="F734" s="10"/>
      <c r="H734" s="10"/>
      <c r="J734" s="10"/>
    </row>
    <row r="735" spans="2:10" ht="12.5" x14ac:dyDescent="0.25">
      <c r="B735" s="3"/>
      <c r="D735" s="10"/>
      <c r="F735" s="10"/>
      <c r="H735" s="10"/>
      <c r="J735" s="10"/>
    </row>
    <row r="736" spans="2:10" ht="12.5" x14ac:dyDescent="0.25">
      <c r="B736" s="3"/>
      <c r="D736" s="10"/>
      <c r="F736" s="10"/>
      <c r="H736" s="10"/>
      <c r="J736" s="10"/>
    </row>
    <row r="737" spans="2:10" ht="12.5" x14ac:dyDescent="0.25">
      <c r="B737" s="3"/>
      <c r="D737" s="10"/>
      <c r="F737" s="10"/>
      <c r="H737" s="10"/>
      <c r="J737" s="10"/>
    </row>
    <row r="738" spans="2:10" ht="12.5" x14ac:dyDescent="0.25">
      <c r="B738" s="3"/>
      <c r="D738" s="10"/>
      <c r="F738" s="10"/>
      <c r="H738" s="10"/>
      <c r="J738" s="10"/>
    </row>
    <row r="739" spans="2:10" ht="12.5" x14ac:dyDescent="0.25">
      <c r="B739" s="3"/>
      <c r="D739" s="10"/>
      <c r="F739" s="10"/>
      <c r="H739" s="10"/>
      <c r="J739" s="10"/>
    </row>
    <row r="740" spans="2:10" ht="12.5" x14ac:dyDescent="0.25">
      <c r="B740" s="3"/>
      <c r="D740" s="10"/>
      <c r="F740" s="10"/>
      <c r="H740" s="10"/>
      <c r="J740" s="10"/>
    </row>
    <row r="741" spans="2:10" ht="12.5" x14ac:dyDescent="0.25">
      <c r="B741" s="3"/>
      <c r="D741" s="10"/>
      <c r="F741" s="10"/>
      <c r="H741" s="10"/>
      <c r="J741" s="10"/>
    </row>
    <row r="742" spans="2:10" ht="12.5" x14ac:dyDescent="0.25">
      <c r="B742" s="3"/>
      <c r="D742" s="10"/>
      <c r="F742" s="10"/>
      <c r="H742" s="10"/>
      <c r="J742" s="10"/>
    </row>
    <row r="743" spans="2:10" ht="12.5" x14ac:dyDescent="0.25">
      <c r="B743" s="3"/>
      <c r="D743" s="10"/>
      <c r="F743" s="10"/>
      <c r="H743" s="10"/>
      <c r="J743" s="10"/>
    </row>
    <row r="744" spans="2:10" ht="12.5" x14ac:dyDescent="0.25">
      <c r="B744" s="3"/>
      <c r="D744" s="10"/>
      <c r="F744" s="10"/>
      <c r="H744" s="10"/>
      <c r="J744" s="10"/>
    </row>
    <row r="745" spans="2:10" ht="12.5" x14ac:dyDescent="0.25">
      <c r="B745" s="3"/>
      <c r="D745" s="10"/>
      <c r="F745" s="10"/>
      <c r="H745" s="10"/>
      <c r="J745" s="10"/>
    </row>
    <row r="746" spans="2:10" ht="12.5" x14ac:dyDescent="0.25">
      <c r="B746" s="3"/>
      <c r="D746" s="10"/>
      <c r="F746" s="10"/>
      <c r="H746" s="10"/>
      <c r="J746" s="10"/>
    </row>
    <row r="747" spans="2:10" ht="12.5" x14ac:dyDescent="0.25">
      <c r="B747" s="3"/>
      <c r="D747" s="10"/>
      <c r="F747" s="10"/>
      <c r="H747" s="10"/>
      <c r="J747" s="10"/>
    </row>
    <row r="748" spans="2:10" ht="12.5" x14ac:dyDescent="0.25">
      <c r="B748" s="3"/>
      <c r="D748" s="10"/>
      <c r="F748" s="10"/>
      <c r="H748" s="10"/>
      <c r="J748" s="10"/>
    </row>
    <row r="749" spans="2:10" ht="12.5" x14ac:dyDescent="0.25">
      <c r="B749" s="3"/>
      <c r="D749" s="10"/>
      <c r="F749" s="10"/>
      <c r="H749" s="10"/>
      <c r="J749" s="10"/>
    </row>
    <row r="750" spans="2:10" ht="12.5" x14ac:dyDescent="0.25">
      <c r="B750" s="3"/>
      <c r="D750" s="10"/>
      <c r="F750" s="10"/>
      <c r="H750" s="10"/>
      <c r="J750" s="10"/>
    </row>
    <row r="751" spans="2:10" ht="12.5" x14ac:dyDescent="0.25">
      <c r="B751" s="3"/>
      <c r="D751" s="10"/>
      <c r="F751" s="10"/>
      <c r="H751" s="10"/>
      <c r="J751" s="10"/>
    </row>
    <row r="752" spans="2:10" ht="12.5" x14ac:dyDescent="0.25">
      <c r="B752" s="3"/>
      <c r="D752" s="10"/>
      <c r="F752" s="10"/>
      <c r="H752" s="10"/>
      <c r="J752" s="10"/>
    </row>
    <row r="753" spans="2:10" ht="12.5" x14ac:dyDescent="0.25">
      <c r="B753" s="3"/>
      <c r="D753" s="10"/>
      <c r="F753" s="10"/>
      <c r="H753" s="10"/>
      <c r="J753" s="10"/>
    </row>
    <row r="754" spans="2:10" ht="12.5" x14ac:dyDescent="0.25">
      <c r="B754" s="3"/>
      <c r="D754" s="10"/>
      <c r="F754" s="10"/>
      <c r="H754" s="10"/>
      <c r="J754" s="10"/>
    </row>
    <row r="755" spans="2:10" ht="12.5" x14ac:dyDescent="0.25">
      <c r="B755" s="3"/>
      <c r="D755" s="10"/>
      <c r="F755" s="10"/>
      <c r="H755" s="10"/>
      <c r="J755" s="10"/>
    </row>
    <row r="756" spans="2:10" ht="12.5" x14ac:dyDescent="0.25">
      <c r="B756" s="3"/>
      <c r="D756" s="10"/>
      <c r="F756" s="10"/>
      <c r="H756" s="10"/>
      <c r="J756" s="10"/>
    </row>
    <row r="757" spans="2:10" ht="12.5" x14ac:dyDescent="0.25">
      <c r="B757" s="3"/>
      <c r="D757" s="10"/>
      <c r="F757" s="10"/>
      <c r="H757" s="10"/>
      <c r="J757" s="10"/>
    </row>
    <row r="758" spans="2:10" ht="12.5" x14ac:dyDescent="0.25">
      <c r="B758" s="3"/>
      <c r="D758" s="10"/>
      <c r="F758" s="10"/>
      <c r="H758" s="10"/>
      <c r="J758" s="10"/>
    </row>
    <row r="759" spans="2:10" ht="12.5" x14ac:dyDescent="0.25">
      <c r="B759" s="3"/>
      <c r="D759" s="10"/>
      <c r="F759" s="10"/>
      <c r="H759" s="10"/>
      <c r="J759" s="10"/>
    </row>
    <row r="760" spans="2:10" ht="12.5" x14ac:dyDescent="0.25">
      <c r="B760" s="3"/>
      <c r="D760" s="10"/>
      <c r="F760" s="10"/>
      <c r="H760" s="10"/>
      <c r="J760" s="10"/>
    </row>
    <row r="761" spans="2:10" ht="12.5" x14ac:dyDescent="0.25">
      <c r="B761" s="3"/>
      <c r="D761" s="10"/>
      <c r="F761" s="10"/>
      <c r="H761" s="10"/>
      <c r="J761" s="10"/>
    </row>
    <row r="762" spans="2:10" ht="12.5" x14ac:dyDescent="0.25">
      <c r="B762" s="3"/>
      <c r="D762" s="10"/>
      <c r="F762" s="10"/>
      <c r="H762" s="10"/>
      <c r="J762" s="10"/>
    </row>
    <row r="763" spans="2:10" ht="12.5" x14ac:dyDescent="0.25">
      <c r="B763" s="3"/>
      <c r="D763" s="10"/>
      <c r="F763" s="10"/>
      <c r="H763" s="10"/>
      <c r="J763" s="10"/>
    </row>
    <row r="764" spans="2:10" ht="12.5" x14ac:dyDescent="0.25">
      <c r="B764" s="3"/>
      <c r="D764" s="10"/>
      <c r="F764" s="10"/>
      <c r="H764" s="10"/>
      <c r="J764" s="10"/>
    </row>
    <row r="765" spans="2:10" ht="12.5" x14ac:dyDescent="0.25">
      <c r="B765" s="3"/>
      <c r="D765" s="10"/>
      <c r="F765" s="10"/>
      <c r="H765" s="10"/>
      <c r="J765" s="10"/>
    </row>
    <row r="766" spans="2:10" ht="12.5" x14ac:dyDescent="0.25">
      <c r="B766" s="3"/>
      <c r="D766" s="10"/>
      <c r="F766" s="10"/>
      <c r="H766" s="10"/>
      <c r="J766" s="10"/>
    </row>
    <row r="767" spans="2:10" ht="12.5" x14ac:dyDescent="0.25">
      <c r="B767" s="3"/>
      <c r="D767" s="10"/>
      <c r="F767" s="10"/>
      <c r="H767" s="10"/>
      <c r="J767" s="10"/>
    </row>
    <row r="768" spans="2:10" ht="12.5" x14ac:dyDescent="0.25">
      <c r="B768" s="3"/>
      <c r="D768" s="10"/>
      <c r="F768" s="10"/>
      <c r="H768" s="10"/>
      <c r="J768" s="10"/>
    </row>
    <row r="769" spans="2:10" ht="12.5" x14ac:dyDescent="0.25">
      <c r="B769" s="3"/>
      <c r="D769" s="10"/>
      <c r="F769" s="10"/>
      <c r="H769" s="10"/>
      <c r="J769" s="10"/>
    </row>
    <row r="770" spans="2:10" ht="12.5" x14ac:dyDescent="0.25">
      <c r="B770" s="3"/>
      <c r="D770" s="10"/>
      <c r="F770" s="10"/>
      <c r="H770" s="10"/>
      <c r="J770" s="10"/>
    </row>
    <row r="771" spans="2:10" ht="12.5" x14ac:dyDescent="0.25">
      <c r="B771" s="3"/>
      <c r="D771" s="10"/>
      <c r="F771" s="10"/>
      <c r="H771" s="10"/>
      <c r="J771" s="10"/>
    </row>
    <row r="772" spans="2:10" ht="12.5" x14ac:dyDescent="0.25">
      <c r="B772" s="3"/>
      <c r="D772" s="10"/>
      <c r="F772" s="10"/>
      <c r="H772" s="10"/>
      <c r="J772" s="10"/>
    </row>
    <row r="773" spans="2:10" ht="12.5" x14ac:dyDescent="0.25">
      <c r="B773" s="3"/>
      <c r="D773" s="10"/>
      <c r="F773" s="10"/>
      <c r="H773" s="10"/>
      <c r="J773" s="10"/>
    </row>
    <row r="774" spans="2:10" ht="12.5" x14ac:dyDescent="0.25">
      <c r="B774" s="3"/>
      <c r="D774" s="10"/>
      <c r="F774" s="10"/>
      <c r="H774" s="10"/>
      <c r="J774" s="10"/>
    </row>
    <row r="775" spans="2:10" ht="12.5" x14ac:dyDescent="0.25">
      <c r="B775" s="3"/>
      <c r="D775" s="10"/>
      <c r="F775" s="10"/>
      <c r="H775" s="10"/>
      <c r="J775" s="10"/>
    </row>
    <row r="776" spans="2:10" ht="12.5" x14ac:dyDescent="0.25">
      <c r="B776" s="3"/>
      <c r="D776" s="10"/>
      <c r="F776" s="10"/>
      <c r="H776" s="10"/>
      <c r="J776" s="10"/>
    </row>
    <row r="777" spans="2:10" ht="12.5" x14ac:dyDescent="0.25">
      <c r="B777" s="3"/>
      <c r="D777" s="10"/>
      <c r="F777" s="10"/>
      <c r="H777" s="10"/>
      <c r="J777" s="10"/>
    </row>
    <row r="778" spans="2:10" ht="12.5" x14ac:dyDescent="0.25">
      <c r="B778" s="3"/>
      <c r="D778" s="10"/>
      <c r="F778" s="10"/>
      <c r="H778" s="10"/>
      <c r="J778" s="10"/>
    </row>
    <row r="779" spans="2:10" ht="12.5" x14ac:dyDescent="0.25">
      <c r="B779" s="3"/>
      <c r="D779" s="10"/>
      <c r="F779" s="10"/>
      <c r="H779" s="10"/>
      <c r="J779" s="10"/>
    </row>
    <row r="780" spans="2:10" ht="12.5" x14ac:dyDescent="0.25">
      <c r="B780" s="3"/>
      <c r="D780" s="10"/>
      <c r="F780" s="10"/>
      <c r="H780" s="10"/>
      <c r="J780" s="10"/>
    </row>
    <row r="781" spans="2:10" ht="12.5" x14ac:dyDescent="0.25">
      <c r="B781" s="3"/>
      <c r="D781" s="10"/>
      <c r="F781" s="10"/>
      <c r="H781" s="10"/>
      <c r="J781" s="10"/>
    </row>
    <row r="782" spans="2:10" ht="12.5" x14ac:dyDescent="0.25">
      <c r="B782" s="3"/>
      <c r="D782" s="10"/>
      <c r="F782" s="10"/>
      <c r="H782" s="10"/>
      <c r="J782" s="10"/>
    </row>
    <row r="783" spans="2:10" ht="12.5" x14ac:dyDescent="0.25">
      <c r="B783" s="3"/>
      <c r="D783" s="10"/>
      <c r="F783" s="10"/>
      <c r="H783" s="10"/>
      <c r="J783" s="10"/>
    </row>
    <row r="784" spans="2:10" ht="12.5" x14ac:dyDescent="0.25">
      <c r="B784" s="3"/>
      <c r="D784" s="10"/>
      <c r="F784" s="10"/>
      <c r="H784" s="10"/>
      <c r="J784" s="10"/>
    </row>
    <row r="785" spans="2:10" ht="12.5" x14ac:dyDescent="0.25">
      <c r="B785" s="3"/>
      <c r="D785" s="10"/>
      <c r="F785" s="10"/>
      <c r="H785" s="10"/>
      <c r="J785" s="10"/>
    </row>
    <row r="786" spans="2:10" ht="12.5" x14ac:dyDescent="0.25">
      <c r="B786" s="3"/>
      <c r="D786" s="10"/>
      <c r="F786" s="10"/>
      <c r="H786" s="10"/>
      <c r="J786" s="10"/>
    </row>
    <row r="787" spans="2:10" ht="12.5" x14ac:dyDescent="0.25">
      <c r="B787" s="3"/>
      <c r="D787" s="10"/>
      <c r="F787" s="10"/>
      <c r="H787" s="10"/>
      <c r="J787" s="10"/>
    </row>
    <row r="788" spans="2:10" ht="12.5" x14ac:dyDescent="0.25">
      <c r="B788" s="3"/>
      <c r="D788" s="10"/>
      <c r="F788" s="10"/>
      <c r="H788" s="10"/>
      <c r="J788" s="10"/>
    </row>
    <row r="789" spans="2:10" ht="12.5" x14ac:dyDescent="0.25">
      <c r="B789" s="3"/>
      <c r="D789" s="10"/>
      <c r="F789" s="10"/>
      <c r="H789" s="10"/>
      <c r="J789" s="10"/>
    </row>
    <row r="790" spans="2:10" ht="12.5" x14ac:dyDescent="0.25">
      <c r="B790" s="3"/>
      <c r="D790" s="10"/>
      <c r="F790" s="10"/>
      <c r="H790" s="10"/>
      <c r="J790" s="10"/>
    </row>
    <row r="791" spans="2:10" ht="12.5" x14ac:dyDescent="0.25">
      <c r="B791" s="3"/>
      <c r="D791" s="10"/>
      <c r="F791" s="10"/>
      <c r="H791" s="10"/>
      <c r="J791" s="10"/>
    </row>
    <row r="792" spans="2:10" ht="12.5" x14ac:dyDescent="0.25">
      <c r="B792" s="3"/>
      <c r="D792" s="10"/>
      <c r="F792" s="10"/>
      <c r="H792" s="10"/>
      <c r="J792" s="10"/>
    </row>
    <row r="793" spans="2:10" ht="12.5" x14ac:dyDescent="0.25">
      <c r="B793" s="3"/>
      <c r="D793" s="10"/>
      <c r="F793" s="10"/>
      <c r="H793" s="10"/>
      <c r="J793" s="10"/>
    </row>
    <row r="794" spans="2:10" ht="12.5" x14ac:dyDescent="0.25">
      <c r="B794" s="3"/>
      <c r="D794" s="10"/>
      <c r="F794" s="10"/>
      <c r="H794" s="10"/>
      <c r="J794" s="10"/>
    </row>
    <row r="795" spans="2:10" ht="12.5" x14ac:dyDescent="0.25">
      <c r="B795" s="3"/>
      <c r="D795" s="10"/>
      <c r="F795" s="10"/>
      <c r="H795" s="10"/>
      <c r="J795" s="10"/>
    </row>
    <row r="796" spans="2:10" ht="12.5" x14ac:dyDescent="0.25">
      <c r="B796" s="3"/>
      <c r="D796" s="10"/>
      <c r="F796" s="10"/>
      <c r="H796" s="10"/>
      <c r="J796" s="10"/>
    </row>
    <row r="797" spans="2:10" ht="12.5" x14ac:dyDescent="0.25">
      <c r="B797" s="3"/>
      <c r="D797" s="10"/>
      <c r="F797" s="10"/>
      <c r="H797" s="10"/>
      <c r="J797" s="10"/>
    </row>
    <row r="798" spans="2:10" ht="12.5" x14ac:dyDescent="0.25">
      <c r="B798" s="3"/>
      <c r="D798" s="10"/>
      <c r="F798" s="10"/>
      <c r="H798" s="10"/>
      <c r="J798" s="10"/>
    </row>
    <row r="799" spans="2:10" ht="12.5" x14ac:dyDescent="0.25">
      <c r="B799" s="3"/>
      <c r="D799" s="10"/>
      <c r="F799" s="10"/>
      <c r="H799" s="10"/>
      <c r="J799" s="10"/>
    </row>
    <row r="800" spans="2:10" ht="12.5" x14ac:dyDescent="0.25">
      <c r="B800" s="3"/>
      <c r="D800" s="10"/>
      <c r="F800" s="10"/>
      <c r="H800" s="10"/>
      <c r="J800" s="10"/>
    </row>
    <row r="801" spans="2:10" ht="12.5" x14ac:dyDescent="0.25">
      <c r="B801" s="3"/>
      <c r="D801" s="10"/>
      <c r="F801" s="10"/>
      <c r="H801" s="10"/>
      <c r="J801" s="10"/>
    </row>
    <row r="802" spans="2:10" ht="12.5" x14ac:dyDescent="0.25">
      <c r="B802" s="3"/>
      <c r="D802" s="10"/>
      <c r="F802" s="10"/>
      <c r="H802" s="10"/>
      <c r="J802" s="10"/>
    </row>
    <row r="803" spans="2:10" ht="12.5" x14ac:dyDescent="0.25">
      <c r="B803" s="3"/>
      <c r="D803" s="10"/>
      <c r="F803" s="10"/>
      <c r="H803" s="10"/>
      <c r="J803" s="10"/>
    </row>
    <row r="804" spans="2:10" ht="12.5" x14ac:dyDescent="0.25">
      <c r="B804" s="3"/>
      <c r="D804" s="10"/>
      <c r="F804" s="10"/>
      <c r="H804" s="10"/>
      <c r="J804" s="10"/>
    </row>
    <row r="805" spans="2:10" ht="12.5" x14ac:dyDescent="0.25">
      <c r="B805" s="3"/>
      <c r="D805" s="10"/>
      <c r="F805" s="10"/>
      <c r="H805" s="10"/>
      <c r="J805" s="10"/>
    </row>
    <row r="806" spans="2:10" ht="12.5" x14ac:dyDescent="0.25">
      <c r="B806" s="3"/>
      <c r="D806" s="10"/>
      <c r="F806" s="10"/>
      <c r="H806" s="10"/>
      <c r="J806" s="10"/>
    </row>
    <row r="807" spans="2:10" ht="12.5" x14ac:dyDescent="0.25">
      <c r="B807" s="3"/>
      <c r="D807" s="10"/>
      <c r="F807" s="10"/>
      <c r="H807" s="10"/>
      <c r="J807" s="10"/>
    </row>
    <row r="808" spans="2:10" ht="12.5" x14ac:dyDescent="0.25">
      <c r="B808" s="3"/>
      <c r="D808" s="10"/>
      <c r="F808" s="10"/>
      <c r="H808" s="10"/>
      <c r="J808" s="10"/>
    </row>
    <row r="809" spans="2:10" ht="12.5" x14ac:dyDescent="0.25">
      <c r="B809" s="3"/>
      <c r="D809" s="10"/>
      <c r="F809" s="10"/>
      <c r="H809" s="10"/>
      <c r="J809" s="10"/>
    </row>
    <row r="810" spans="2:10" ht="12.5" x14ac:dyDescent="0.25">
      <c r="B810" s="3"/>
      <c r="D810" s="10"/>
      <c r="F810" s="10"/>
      <c r="H810" s="10"/>
      <c r="J810" s="10"/>
    </row>
    <row r="811" spans="2:10" ht="12.5" x14ac:dyDescent="0.25">
      <c r="B811" s="3"/>
      <c r="D811" s="10"/>
      <c r="F811" s="10"/>
      <c r="H811" s="10"/>
      <c r="J811" s="10"/>
    </row>
    <row r="812" spans="2:10" ht="12.5" x14ac:dyDescent="0.25">
      <c r="B812" s="3"/>
      <c r="D812" s="10"/>
      <c r="F812" s="10"/>
      <c r="H812" s="10"/>
      <c r="J812" s="10"/>
    </row>
    <row r="813" spans="2:10" ht="12.5" x14ac:dyDescent="0.25">
      <c r="B813" s="3"/>
      <c r="D813" s="10"/>
      <c r="F813" s="10"/>
      <c r="H813" s="10"/>
      <c r="J813" s="10"/>
    </row>
    <row r="814" spans="2:10" ht="12.5" x14ac:dyDescent="0.25">
      <c r="B814" s="3"/>
      <c r="D814" s="10"/>
      <c r="F814" s="10"/>
      <c r="H814" s="10"/>
      <c r="J814" s="10"/>
    </row>
    <row r="815" spans="2:10" ht="12.5" x14ac:dyDescent="0.25">
      <c r="B815" s="3"/>
      <c r="D815" s="10"/>
      <c r="F815" s="10"/>
      <c r="H815" s="10"/>
      <c r="J815" s="10"/>
    </row>
    <row r="816" spans="2:10" ht="12.5" x14ac:dyDescent="0.25">
      <c r="B816" s="3"/>
      <c r="D816" s="10"/>
      <c r="F816" s="10"/>
      <c r="H816" s="10"/>
      <c r="J816" s="10"/>
    </row>
    <row r="817" spans="2:10" ht="12.5" x14ac:dyDescent="0.25">
      <c r="B817" s="3"/>
      <c r="D817" s="10"/>
      <c r="F817" s="10"/>
      <c r="H817" s="10"/>
      <c r="J817" s="10"/>
    </row>
    <row r="818" spans="2:10" ht="12.5" x14ac:dyDescent="0.25">
      <c r="B818" s="3"/>
      <c r="D818" s="10"/>
      <c r="F818" s="10"/>
      <c r="H818" s="10"/>
      <c r="J818" s="10"/>
    </row>
    <row r="819" spans="2:10" ht="12.5" x14ac:dyDescent="0.25">
      <c r="B819" s="3"/>
      <c r="D819" s="10"/>
      <c r="F819" s="10"/>
      <c r="H819" s="10"/>
      <c r="J819" s="10"/>
    </row>
    <row r="820" spans="2:10" ht="12.5" x14ac:dyDescent="0.25">
      <c r="B820" s="3"/>
      <c r="D820" s="10"/>
      <c r="F820" s="10"/>
      <c r="H820" s="10"/>
      <c r="J820" s="10"/>
    </row>
    <row r="821" spans="2:10" ht="12.5" x14ac:dyDescent="0.25">
      <c r="B821" s="3"/>
      <c r="D821" s="10"/>
      <c r="F821" s="10"/>
      <c r="H821" s="10"/>
      <c r="J821" s="10"/>
    </row>
    <row r="822" spans="2:10" ht="12.5" x14ac:dyDescent="0.25">
      <c r="B822" s="3"/>
      <c r="D822" s="10"/>
      <c r="F822" s="10"/>
      <c r="H822" s="10"/>
      <c r="J822" s="10"/>
    </row>
    <row r="823" spans="2:10" ht="12.5" x14ac:dyDescent="0.25">
      <c r="B823" s="3"/>
      <c r="D823" s="10"/>
      <c r="F823" s="10"/>
      <c r="H823" s="10"/>
      <c r="J823" s="10"/>
    </row>
    <row r="824" spans="2:10" ht="12.5" x14ac:dyDescent="0.25">
      <c r="B824" s="3"/>
      <c r="D824" s="10"/>
      <c r="F824" s="10"/>
      <c r="H824" s="10"/>
      <c r="J824" s="10"/>
    </row>
    <row r="825" spans="2:10" ht="12.5" x14ac:dyDescent="0.25">
      <c r="B825" s="3"/>
      <c r="D825" s="10"/>
      <c r="F825" s="10"/>
      <c r="H825" s="10"/>
      <c r="J825" s="10"/>
    </row>
    <row r="826" spans="2:10" ht="12.5" x14ac:dyDescent="0.25">
      <c r="B826" s="3"/>
      <c r="D826" s="10"/>
      <c r="F826" s="10"/>
      <c r="H826" s="10"/>
      <c r="J826" s="10"/>
    </row>
    <row r="827" spans="2:10" ht="12.5" x14ac:dyDescent="0.25">
      <c r="B827" s="3"/>
      <c r="D827" s="10"/>
      <c r="F827" s="10"/>
      <c r="H827" s="10"/>
      <c r="J827" s="10"/>
    </row>
    <row r="828" spans="2:10" ht="12.5" x14ac:dyDescent="0.25">
      <c r="B828" s="3"/>
      <c r="D828" s="10"/>
      <c r="F828" s="10"/>
      <c r="H828" s="10"/>
      <c r="J828" s="10"/>
    </row>
    <row r="829" spans="2:10" ht="12.5" x14ac:dyDescent="0.25">
      <c r="B829" s="3"/>
      <c r="D829" s="10"/>
      <c r="F829" s="10"/>
      <c r="H829" s="10"/>
      <c r="J829" s="10"/>
    </row>
    <row r="830" spans="2:10" ht="12.5" x14ac:dyDescent="0.25">
      <c r="B830" s="3"/>
      <c r="D830" s="10"/>
      <c r="F830" s="10"/>
      <c r="H830" s="10"/>
      <c r="J830" s="10"/>
    </row>
    <row r="831" spans="2:10" ht="12.5" x14ac:dyDescent="0.25">
      <c r="B831" s="3"/>
      <c r="D831" s="10"/>
      <c r="F831" s="10"/>
      <c r="H831" s="10"/>
      <c r="J831" s="10"/>
    </row>
    <row r="832" spans="2:10" ht="12.5" x14ac:dyDescent="0.25">
      <c r="B832" s="3"/>
      <c r="D832" s="10"/>
      <c r="F832" s="10"/>
      <c r="H832" s="10"/>
      <c r="J832" s="10"/>
    </row>
    <row r="833" spans="2:10" ht="12.5" x14ac:dyDescent="0.25">
      <c r="B833" s="3"/>
      <c r="D833" s="10"/>
      <c r="F833" s="10"/>
      <c r="H833" s="10"/>
      <c r="J833" s="10"/>
    </row>
    <row r="834" spans="2:10" ht="12.5" x14ac:dyDescent="0.25">
      <c r="B834" s="3"/>
      <c r="D834" s="10"/>
      <c r="F834" s="10"/>
      <c r="H834" s="10"/>
      <c r="J834" s="10"/>
    </row>
    <row r="835" spans="2:10" ht="12.5" x14ac:dyDescent="0.25">
      <c r="B835" s="3"/>
      <c r="D835" s="10"/>
      <c r="F835" s="10"/>
      <c r="H835" s="10"/>
      <c r="J835" s="10"/>
    </row>
    <row r="836" spans="2:10" ht="12.5" x14ac:dyDescent="0.25">
      <c r="B836" s="3"/>
      <c r="D836" s="10"/>
      <c r="F836" s="10"/>
      <c r="H836" s="10"/>
      <c r="J836" s="10"/>
    </row>
    <row r="837" spans="2:10" ht="12.5" x14ac:dyDescent="0.25">
      <c r="B837" s="3"/>
      <c r="D837" s="10"/>
      <c r="F837" s="10"/>
      <c r="H837" s="10"/>
      <c r="J837" s="10"/>
    </row>
    <row r="838" spans="2:10" ht="12.5" x14ac:dyDescent="0.25">
      <c r="B838" s="3"/>
      <c r="D838" s="10"/>
      <c r="F838" s="10"/>
      <c r="H838" s="10"/>
      <c r="J838" s="10"/>
    </row>
    <row r="839" spans="2:10" ht="12.5" x14ac:dyDescent="0.25">
      <c r="B839" s="3"/>
      <c r="D839" s="10"/>
      <c r="F839" s="10"/>
      <c r="H839" s="10"/>
      <c r="J839" s="10"/>
    </row>
    <row r="840" spans="2:10" ht="12.5" x14ac:dyDescent="0.25">
      <c r="B840" s="3"/>
      <c r="D840" s="10"/>
      <c r="F840" s="10"/>
      <c r="H840" s="10"/>
      <c r="J840" s="10"/>
    </row>
    <row r="841" spans="2:10" ht="12.5" x14ac:dyDescent="0.25">
      <c r="B841" s="3"/>
      <c r="D841" s="10"/>
      <c r="F841" s="10"/>
      <c r="H841" s="10"/>
      <c r="J841" s="10"/>
    </row>
    <row r="842" spans="2:10" ht="12.5" x14ac:dyDescent="0.25">
      <c r="B842" s="3"/>
      <c r="D842" s="10"/>
      <c r="F842" s="10"/>
      <c r="H842" s="10"/>
      <c r="J842" s="10"/>
    </row>
    <row r="843" spans="2:10" ht="12.5" x14ac:dyDescent="0.25">
      <c r="B843" s="3"/>
      <c r="D843" s="10"/>
      <c r="F843" s="10"/>
      <c r="H843" s="10"/>
      <c r="J843" s="10"/>
    </row>
    <row r="844" spans="2:10" ht="12.5" x14ac:dyDescent="0.25">
      <c r="B844" s="3"/>
      <c r="D844" s="10"/>
      <c r="F844" s="10"/>
      <c r="H844" s="10"/>
      <c r="J844" s="10"/>
    </row>
    <row r="845" spans="2:10" ht="12.5" x14ac:dyDescent="0.25">
      <c r="B845" s="3"/>
      <c r="D845" s="10"/>
      <c r="F845" s="10"/>
      <c r="H845" s="10"/>
      <c r="J845" s="10"/>
    </row>
    <row r="846" spans="2:10" ht="12.5" x14ac:dyDescent="0.25">
      <c r="B846" s="3"/>
      <c r="D846" s="10"/>
      <c r="F846" s="10"/>
      <c r="H846" s="10"/>
      <c r="J846" s="10"/>
    </row>
    <row r="847" spans="2:10" ht="12.5" x14ac:dyDescent="0.25">
      <c r="B847" s="3"/>
      <c r="D847" s="10"/>
      <c r="F847" s="10"/>
      <c r="H847" s="10"/>
      <c r="J847" s="10"/>
    </row>
    <row r="848" spans="2:10" ht="12.5" x14ac:dyDescent="0.25">
      <c r="B848" s="3"/>
      <c r="D848" s="10"/>
      <c r="F848" s="10"/>
      <c r="H848" s="10"/>
      <c r="J848" s="10"/>
    </row>
    <row r="849" spans="2:10" ht="12.5" x14ac:dyDescent="0.25">
      <c r="B849" s="3"/>
      <c r="D849" s="10"/>
      <c r="F849" s="10"/>
      <c r="H849" s="10"/>
      <c r="J849" s="10"/>
    </row>
    <row r="850" spans="2:10" ht="12.5" x14ac:dyDescent="0.25">
      <c r="B850" s="3"/>
      <c r="D850" s="10"/>
      <c r="F850" s="10"/>
      <c r="H850" s="10"/>
      <c r="J850" s="10"/>
    </row>
    <row r="851" spans="2:10" ht="12.5" x14ac:dyDescent="0.25">
      <c r="B851" s="3"/>
      <c r="D851" s="10"/>
      <c r="F851" s="10"/>
      <c r="H851" s="10"/>
      <c r="J851" s="10"/>
    </row>
    <row r="852" spans="2:10" ht="12.5" x14ac:dyDescent="0.25">
      <c r="B852" s="3"/>
      <c r="D852" s="10"/>
      <c r="F852" s="10"/>
      <c r="H852" s="10"/>
      <c r="J852" s="10"/>
    </row>
    <row r="853" spans="2:10" ht="12.5" x14ac:dyDescent="0.25">
      <c r="B853" s="3"/>
      <c r="D853" s="10"/>
      <c r="F853" s="10"/>
      <c r="H853" s="10"/>
      <c r="J853" s="10"/>
    </row>
    <row r="854" spans="2:10" ht="12.5" x14ac:dyDescent="0.25">
      <c r="B854" s="3"/>
      <c r="D854" s="10"/>
      <c r="F854" s="10"/>
      <c r="H854" s="10"/>
      <c r="J854" s="10"/>
    </row>
    <row r="855" spans="2:10" ht="12.5" x14ac:dyDescent="0.25">
      <c r="B855" s="3"/>
      <c r="D855" s="10"/>
      <c r="F855" s="10"/>
      <c r="H855" s="10"/>
      <c r="J855" s="10"/>
    </row>
    <row r="856" spans="2:10" ht="12.5" x14ac:dyDescent="0.25">
      <c r="B856" s="3"/>
      <c r="D856" s="10"/>
      <c r="F856" s="10"/>
      <c r="H856" s="10"/>
      <c r="J856" s="10"/>
    </row>
    <row r="857" spans="2:10" ht="12.5" x14ac:dyDescent="0.25">
      <c r="B857" s="3"/>
      <c r="D857" s="10"/>
      <c r="F857" s="10"/>
      <c r="H857" s="10"/>
      <c r="J857" s="10"/>
    </row>
    <row r="858" spans="2:10" ht="12.5" x14ac:dyDescent="0.25">
      <c r="B858" s="3"/>
      <c r="D858" s="10"/>
      <c r="F858" s="10"/>
      <c r="H858" s="10"/>
      <c r="J858" s="10"/>
    </row>
    <row r="859" spans="2:10" ht="12.5" x14ac:dyDescent="0.25">
      <c r="B859" s="3"/>
      <c r="D859" s="10"/>
      <c r="F859" s="10"/>
      <c r="H859" s="10"/>
      <c r="J859" s="10"/>
    </row>
    <row r="860" spans="2:10" ht="12.5" x14ac:dyDescent="0.25">
      <c r="B860" s="3"/>
      <c r="D860" s="10"/>
      <c r="F860" s="10"/>
      <c r="H860" s="10"/>
      <c r="J860" s="10"/>
    </row>
    <row r="861" spans="2:10" ht="12.5" x14ac:dyDescent="0.25">
      <c r="B861" s="3"/>
      <c r="D861" s="10"/>
      <c r="F861" s="10"/>
      <c r="H861" s="10"/>
      <c r="J861" s="10"/>
    </row>
    <row r="862" spans="2:10" ht="12.5" x14ac:dyDescent="0.25">
      <c r="B862" s="3"/>
      <c r="D862" s="10"/>
      <c r="F862" s="10"/>
      <c r="H862" s="10"/>
      <c r="J862" s="10"/>
    </row>
    <row r="863" spans="2:10" ht="12.5" x14ac:dyDescent="0.25">
      <c r="B863" s="3"/>
      <c r="D863" s="10"/>
      <c r="F863" s="10"/>
      <c r="H863" s="10"/>
      <c r="J863" s="10"/>
    </row>
    <row r="864" spans="2:10" ht="12.5" x14ac:dyDescent="0.25">
      <c r="B864" s="3"/>
      <c r="D864" s="10"/>
      <c r="F864" s="10"/>
      <c r="H864" s="10"/>
      <c r="J864" s="10"/>
    </row>
    <row r="865" spans="2:10" ht="12.5" x14ac:dyDescent="0.25">
      <c r="B865" s="3"/>
      <c r="D865" s="10"/>
      <c r="F865" s="10"/>
      <c r="H865" s="10"/>
      <c r="J865" s="10"/>
    </row>
    <row r="866" spans="2:10" ht="12.5" x14ac:dyDescent="0.25">
      <c r="B866" s="3"/>
      <c r="D866" s="10"/>
      <c r="F866" s="10"/>
      <c r="H866" s="10"/>
      <c r="J866" s="10"/>
    </row>
    <row r="867" spans="2:10" ht="12.5" x14ac:dyDescent="0.25">
      <c r="B867" s="3"/>
      <c r="D867" s="10"/>
      <c r="F867" s="10"/>
      <c r="H867" s="10"/>
      <c r="J867" s="10"/>
    </row>
    <row r="868" spans="2:10" ht="12.5" x14ac:dyDescent="0.25">
      <c r="B868" s="3"/>
      <c r="D868" s="10"/>
      <c r="F868" s="10"/>
      <c r="H868" s="10"/>
      <c r="J868" s="10"/>
    </row>
    <row r="869" spans="2:10" ht="12.5" x14ac:dyDescent="0.25">
      <c r="B869" s="3"/>
      <c r="D869" s="10"/>
      <c r="F869" s="10"/>
      <c r="H869" s="10"/>
      <c r="J869" s="10"/>
    </row>
    <row r="870" spans="2:10" ht="12.5" x14ac:dyDescent="0.25">
      <c r="B870" s="3"/>
      <c r="D870" s="10"/>
      <c r="F870" s="10"/>
      <c r="H870" s="10"/>
      <c r="J870" s="10"/>
    </row>
    <row r="871" spans="2:10" ht="12.5" x14ac:dyDescent="0.25">
      <c r="B871" s="3"/>
      <c r="D871" s="10"/>
      <c r="F871" s="10"/>
      <c r="H871" s="10"/>
      <c r="J871" s="10"/>
    </row>
    <row r="872" spans="2:10" ht="12.5" x14ac:dyDescent="0.25">
      <c r="B872" s="3"/>
      <c r="D872" s="10"/>
      <c r="F872" s="10"/>
      <c r="H872" s="10"/>
      <c r="J872" s="10"/>
    </row>
    <row r="873" spans="2:10" ht="12.5" x14ac:dyDescent="0.25">
      <c r="B873" s="3"/>
      <c r="D873" s="10"/>
      <c r="F873" s="10"/>
      <c r="H873" s="10"/>
      <c r="J873" s="10"/>
    </row>
    <row r="874" spans="2:10" ht="12.5" x14ac:dyDescent="0.25">
      <c r="B874" s="3"/>
      <c r="D874" s="10"/>
      <c r="F874" s="10"/>
      <c r="H874" s="10"/>
      <c r="J874" s="10"/>
    </row>
    <row r="875" spans="2:10" ht="12.5" x14ac:dyDescent="0.25">
      <c r="B875" s="3"/>
      <c r="D875" s="10"/>
      <c r="F875" s="10"/>
      <c r="H875" s="10"/>
      <c r="J875" s="10"/>
    </row>
    <row r="876" spans="2:10" ht="12.5" x14ac:dyDescent="0.25">
      <c r="B876" s="3"/>
      <c r="D876" s="10"/>
      <c r="F876" s="10"/>
      <c r="H876" s="10"/>
      <c r="J876" s="10"/>
    </row>
    <row r="877" spans="2:10" ht="12.5" x14ac:dyDescent="0.25">
      <c r="B877" s="3"/>
      <c r="D877" s="10"/>
      <c r="F877" s="10"/>
      <c r="H877" s="10"/>
      <c r="J877" s="10"/>
    </row>
    <row r="878" spans="2:10" ht="12.5" x14ac:dyDescent="0.25">
      <c r="B878" s="3"/>
      <c r="D878" s="10"/>
      <c r="F878" s="10"/>
      <c r="H878" s="10"/>
      <c r="J878" s="10"/>
    </row>
    <row r="879" spans="2:10" ht="12.5" x14ac:dyDescent="0.25">
      <c r="B879" s="3"/>
      <c r="D879" s="10"/>
      <c r="F879" s="10"/>
      <c r="H879" s="10"/>
      <c r="J879" s="10"/>
    </row>
    <row r="880" spans="2:10" ht="12.5" x14ac:dyDescent="0.25">
      <c r="B880" s="3"/>
      <c r="D880" s="10"/>
      <c r="F880" s="10"/>
      <c r="H880" s="10"/>
      <c r="J880" s="10"/>
    </row>
    <row r="881" spans="2:10" ht="12.5" x14ac:dyDescent="0.25">
      <c r="B881" s="3"/>
      <c r="D881" s="10"/>
      <c r="F881" s="10"/>
      <c r="H881" s="10"/>
      <c r="J881" s="10"/>
    </row>
    <row r="882" spans="2:10" ht="12.5" x14ac:dyDescent="0.25">
      <c r="B882" s="3"/>
      <c r="D882" s="10"/>
      <c r="F882" s="10"/>
      <c r="H882" s="10"/>
      <c r="J882" s="10"/>
    </row>
    <row r="883" spans="2:10" ht="12.5" x14ac:dyDescent="0.25">
      <c r="B883" s="3"/>
      <c r="D883" s="10"/>
      <c r="F883" s="10"/>
      <c r="H883" s="10"/>
      <c r="J883" s="10"/>
    </row>
    <row r="884" spans="2:10" ht="12.5" x14ac:dyDescent="0.25">
      <c r="B884" s="3"/>
      <c r="D884" s="10"/>
      <c r="F884" s="10"/>
      <c r="H884" s="10"/>
      <c r="J884" s="10"/>
    </row>
    <row r="885" spans="2:10" ht="12.5" x14ac:dyDescent="0.25">
      <c r="B885" s="3"/>
      <c r="D885" s="10"/>
      <c r="F885" s="10"/>
      <c r="H885" s="10"/>
      <c r="J885" s="10"/>
    </row>
    <row r="886" spans="2:10" ht="12.5" x14ac:dyDescent="0.25">
      <c r="B886" s="3"/>
      <c r="D886" s="10"/>
      <c r="F886" s="10"/>
      <c r="H886" s="10"/>
      <c r="J886" s="10"/>
    </row>
    <row r="887" spans="2:10" ht="12.5" x14ac:dyDescent="0.25">
      <c r="B887" s="3"/>
      <c r="D887" s="10"/>
      <c r="F887" s="10"/>
      <c r="H887" s="10"/>
      <c r="J887" s="10"/>
    </row>
    <row r="888" spans="2:10" ht="12.5" x14ac:dyDescent="0.25">
      <c r="B888" s="3"/>
      <c r="D888" s="10"/>
      <c r="F888" s="10"/>
      <c r="H888" s="10"/>
      <c r="J888" s="10"/>
    </row>
    <row r="889" spans="2:10" ht="12.5" x14ac:dyDescent="0.25">
      <c r="B889" s="3"/>
      <c r="D889" s="10"/>
      <c r="F889" s="10"/>
      <c r="H889" s="10"/>
      <c r="J889" s="10"/>
    </row>
    <row r="890" spans="2:10" ht="12.5" x14ac:dyDescent="0.25">
      <c r="B890" s="3"/>
      <c r="D890" s="10"/>
      <c r="F890" s="10"/>
      <c r="H890" s="10"/>
      <c r="J890" s="10"/>
    </row>
    <row r="891" spans="2:10" ht="12.5" x14ac:dyDescent="0.25">
      <c r="B891" s="3"/>
      <c r="D891" s="10"/>
      <c r="F891" s="10"/>
      <c r="H891" s="10"/>
      <c r="J891" s="10"/>
    </row>
    <row r="892" spans="2:10" ht="12.5" x14ac:dyDescent="0.25">
      <c r="B892" s="3"/>
      <c r="D892" s="10"/>
      <c r="F892" s="10"/>
      <c r="H892" s="10"/>
      <c r="J892" s="10"/>
    </row>
    <row r="893" spans="2:10" ht="12.5" x14ac:dyDescent="0.25">
      <c r="B893" s="3"/>
      <c r="D893" s="10"/>
      <c r="F893" s="10"/>
      <c r="H893" s="10"/>
      <c r="J893" s="10"/>
    </row>
    <row r="894" spans="2:10" ht="12.5" x14ac:dyDescent="0.25">
      <c r="B894" s="3"/>
      <c r="D894" s="10"/>
      <c r="F894" s="10"/>
      <c r="H894" s="10"/>
      <c r="J894" s="10"/>
    </row>
    <row r="895" spans="2:10" ht="12.5" x14ac:dyDescent="0.25">
      <c r="B895" s="3"/>
      <c r="D895" s="10"/>
      <c r="F895" s="10"/>
      <c r="H895" s="10"/>
      <c r="J895" s="10"/>
    </row>
    <row r="896" spans="2:10" ht="12.5" x14ac:dyDescent="0.25">
      <c r="B896" s="3"/>
      <c r="D896" s="10"/>
      <c r="F896" s="10"/>
      <c r="H896" s="10"/>
      <c r="J896" s="10"/>
    </row>
    <row r="897" spans="2:10" ht="12.5" x14ac:dyDescent="0.25">
      <c r="B897" s="3"/>
      <c r="D897" s="10"/>
      <c r="F897" s="10"/>
      <c r="H897" s="10"/>
      <c r="J897" s="10"/>
    </row>
    <row r="898" spans="2:10" ht="12.5" x14ac:dyDescent="0.25">
      <c r="B898" s="3"/>
      <c r="D898" s="10"/>
      <c r="F898" s="10"/>
      <c r="H898" s="10"/>
      <c r="J898" s="10"/>
    </row>
    <row r="899" spans="2:10" ht="12.5" x14ac:dyDescent="0.25">
      <c r="B899" s="3"/>
      <c r="D899" s="10"/>
      <c r="F899" s="10"/>
      <c r="H899" s="10"/>
      <c r="J899" s="10"/>
    </row>
    <row r="900" spans="2:10" ht="12.5" x14ac:dyDescent="0.25">
      <c r="B900" s="3"/>
      <c r="D900" s="10"/>
      <c r="F900" s="10"/>
      <c r="H900" s="10"/>
      <c r="J900" s="10"/>
    </row>
    <row r="901" spans="2:10" ht="12.5" x14ac:dyDescent="0.25">
      <c r="B901" s="3"/>
      <c r="D901" s="10"/>
      <c r="F901" s="10"/>
      <c r="H901" s="10"/>
      <c r="J901" s="10"/>
    </row>
    <row r="902" spans="2:10" ht="12.5" x14ac:dyDescent="0.25">
      <c r="B902" s="3"/>
      <c r="D902" s="10"/>
      <c r="F902" s="10"/>
      <c r="H902" s="10"/>
      <c r="J902" s="10"/>
    </row>
    <row r="903" spans="2:10" ht="12.5" x14ac:dyDescent="0.25">
      <c r="B903" s="3"/>
      <c r="D903" s="10"/>
      <c r="F903" s="10"/>
      <c r="H903" s="10"/>
      <c r="J903" s="10"/>
    </row>
    <row r="904" spans="2:10" ht="12.5" x14ac:dyDescent="0.25">
      <c r="B904" s="3"/>
      <c r="D904" s="10"/>
      <c r="F904" s="10"/>
      <c r="H904" s="10"/>
      <c r="J904" s="10"/>
    </row>
    <row r="905" spans="2:10" ht="12.5" x14ac:dyDescent="0.25">
      <c r="B905" s="3"/>
      <c r="D905" s="10"/>
      <c r="F905" s="10"/>
      <c r="H905" s="10"/>
      <c r="J905" s="10"/>
    </row>
    <row r="906" spans="2:10" ht="12.5" x14ac:dyDescent="0.25">
      <c r="B906" s="3"/>
      <c r="D906" s="10"/>
      <c r="F906" s="10"/>
      <c r="H906" s="10"/>
      <c r="J906" s="10"/>
    </row>
    <row r="907" spans="2:10" ht="12.5" x14ac:dyDescent="0.25">
      <c r="B907" s="3"/>
      <c r="D907" s="10"/>
      <c r="F907" s="10"/>
      <c r="H907" s="10"/>
      <c r="J907" s="10"/>
    </row>
    <row r="908" spans="2:10" ht="12.5" x14ac:dyDescent="0.25">
      <c r="B908" s="3"/>
      <c r="D908" s="10"/>
      <c r="F908" s="10"/>
      <c r="H908" s="10"/>
      <c r="J908" s="10"/>
    </row>
    <row r="909" spans="2:10" ht="12.5" x14ac:dyDescent="0.25">
      <c r="B909" s="3"/>
      <c r="D909" s="10"/>
      <c r="F909" s="10"/>
      <c r="H909" s="10"/>
      <c r="J909" s="10"/>
    </row>
    <row r="910" spans="2:10" ht="12.5" x14ac:dyDescent="0.25">
      <c r="B910" s="3"/>
      <c r="D910" s="10"/>
      <c r="F910" s="10"/>
      <c r="H910" s="10"/>
      <c r="J910" s="10"/>
    </row>
    <row r="911" spans="2:10" ht="12.5" x14ac:dyDescent="0.25">
      <c r="B911" s="3"/>
      <c r="D911" s="10"/>
      <c r="F911" s="10"/>
      <c r="H911" s="10"/>
      <c r="J911" s="10"/>
    </row>
    <row r="912" spans="2:10" ht="12.5" x14ac:dyDescent="0.25">
      <c r="B912" s="3"/>
      <c r="D912" s="10"/>
      <c r="F912" s="10"/>
      <c r="H912" s="10"/>
      <c r="J912" s="10"/>
    </row>
    <row r="913" spans="2:10" ht="12.5" x14ac:dyDescent="0.25">
      <c r="B913" s="3"/>
      <c r="D913" s="10"/>
      <c r="F913" s="10"/>
      <c r="H913" s="10"/>
      <c r="J913" s="10"/>
    </row>
    <row r="914" spans="2:10" ht="12.5" x14ac:dyDescent="0.25">
      <c r="B914" s="3"/>
      <c r="D914" s="10"/>
      <c r="F914" s="10"/>
      <c r="H914" s="10"/>
      <c r="J914" s="10"/>
    </row>
    <row r="915" spans="2:10" ht="12.5" x14ac:dyDescent="0.25">
      <c r="B915" s="3"/>
      <c r="D915" s="10"/>
      <c r="F915" s="10"/>
      <c r="H915" s="10"/>
      <c r="J915" s="10"/>
    </row>
    <row r="916" spans="2:10" ht="12.5" x14ac:dyDescent="0.25">
      <c r="B916" s="3"/>
      <c r="D916" s="10"/>
      <c r="F916" s="10"/>
      <c r="H916" s="10"/>
      <c r="J916" s="10"/>
    </row>
    <row r="917" spans="2:10" ht="12.5" x14ac:dyDescent="0.25">
      <c r="B917" s="3"/>
      <c r="D917" s="10"/>
      <c r="F917" s="10"/>
      <c r="H917" s="10"/>
      <c r="J917" s="10"/>
    </row>
    <row r="918" spans="2:10" ht="12.5" x14ac:dyDescent="0.25">
      <c r="B918" s="3"/>
      <c r="D918" s="10"/>
      <c r="F918" s="10"/>
      <c r="H918" s="10"/>
      <c r="J918" s="10"/>
    </row>
    <row r="919" spans="2:10" ht="12.5" x14ac:dyDescent="0.25">
      <c r="B919" s="3"/>
      <c r="D919" s="10"/>
      <c r="F919" s="10"/>
      <c r="H919" s="10"/>
      <c r="J919" s="10"/>
    </row>
    <row r="920" spans="2:10" ht="12.5" x14ac:dyDescent="0.25">
      <c r="B920" s="3"/>
      <c r="D920" s="10"/>
      <c r="F920" s="10"/>
      <c r="H920" s="10"/>
      <c r="J920" s="10"/>
    </row>
    <row r="921" spans="2:10" ht="12.5" x14ac:dyDescent="0.25">
      <c r="B921" s="3"/>
      <c r="D921" s="10"/>
      <c r="F921" s="10"/>
      <c r="H921" s="10"/>
      <c r="J921" s="10"/>
    </row>
    <row r="922" spans="2:10" ht="12.5" x14ac:dyDescent="0.25">
      <c r="B922" s="3"/>
      <c r="D922" s="10"/>
      <c r="F922" s="10"/>
      <c r="H922" s="10"/>
      <c r="J922" s="10"/>
    </row>
    <row r="923" spans="2:10" ht="12.5" x14ac:dyDescent="0.25">
      <c r="B923" s="3"/>
      <c r="D923" s="10"/>
      <c r="F923" s="10"/>
      <c r="H923" s="10"/>
      <c r="J923" s="10"/>
    </row>
    <row r="924" spans="2:10" ht="12.5" x14ac:dyDescent="0.25">
      <c r="B924" s="3"/>
      <c r="D924" s="10"/>
      <c r="F924" s="10"/>
      <c r="H924" s="10"/>
      <c r="J924" s="10"/>
    </row>
    <row r="925" spans="2:10" ht="12.5" x14ac:dyDescent="0.25">
      <c r="B925" s="3"/>
      <c r="D925" s="10"/>
      <c r="F925" s="10"/>
      <c r="H925" s="10"/>
      <c r="J925" s="10"/>
    </row>
    <row r="926" spans="2:10" ht="12.5" x14ac:dyDescent="0.25">
      <c r="B926" s="3"/>
      <c r="D926" s="10"/>
      <c r="F926" s="10"/>
      <c r="H926" s="10"/>
      <c r="J926" s="10"/>
    </row>
    <row r="927" spans="2:10" ht="12.5" x14ac:dyDescent="0.25">
      <c r="B927" s="3"/>
      <c r="D927" s="10"/>
      <c r="F927" s="10"/>
      <c r="H927" s="10"/>
      <c r="J927" s="10"/>
    </row>
    <row r="928" spans="2:10" ht="12.5" x14ac:dyDescent="0.25">
      <c r="B928" s="3"/>
      <c r="D928" s="10"/>
      <c r="F928" s="10"/>
      <c r="H928" s="10"/>
      <c r="J928" s="10"/>
    </row>
    <row r="929" spans="2:10" ht="12.5" x14ac:dyDescent="0.25">
      <c r="B929" s="3"/>
      <c r="D929" s="10"/>
      <c r="F929" s="10"/>
      <c r="H929" s="10"/>
      <c r="J929" s="10"/>
    </row>
    <row r="930" spans="2:10" ht="12.5" x14ac:dyDescent="0.25">
      <c r="B930" s="3"/>
      <c r="D930" s="10"/>
      <c r="F930" s="10"/>
      <c r="H930" s="10"/>
      <c r="J930" s="10"/>
    </row>
    <row r="931" spans="2:10" ht="12.5" x14ac:dyDescent="0.25">
      <c r="B931" s="3"/>
      <c r="D931" s="10"/>
      <c r="F931" s="10"/>
      <c r="H931" s="10"/>
      <c r="J931" s="10"/>
    </row>
    <row r="932" spans="2:10" ht="12.5" x14ac:dyDescent="0.25">
      <c r="B932" s="3"/>
      <c r="D932" s="10"/>
      <c r="F932" s="10"/>
      <c r="H932" s="10"/>
      <c r="J932" s="10"/>
    </row>
    <row r="933" spans="2:10" ht="12.5" x14ac:dyDescent="0.25">
      <c r="B933" s="3"/>
      <c r="D933" s="10"/>
      <c r="F933" s="10"/>
      <c r="H933" s="10"/>
      <c r="J933" s="10"/>
    </row>
    <row r="934" spans="2:10" ht="12.5" x14ac:dyDescent="0.25">
      <c r="B934" s="3"/>
      <c r="D934" s="10"/>
      <c r="F934" s="10"/>
      <c r="H934" s="10"/>
      <c r="J934" s="10"/>
    </row>
    <row r="935" spans="2:10" ht="12.5" x14ac:dyDescent="0.25">
      <c r="B935" s="3"/>
      <c r="D935" s="10"/>
      <c r="F935" s="10"/>
      <c r="H935" s="10"/>
      <c r="J935" s="10"/>
    </row>
    <row r="936" spans="2:10" ht="12.5" x14ac:dyDescent="0.25">
      <c r="B936" s="3"/>
      <c r="D936" s="10"/>
      <c r="F936" s="10"/>
      <c r="H936" s="10"/>
      <c r="J936" s="10"/>
    </row>
    <row r="937" spans="2:10" ht="12.5" x14ac:dyDescent="0.25">
      <c r="B937" s="3"/>
      <c r="D937" s="10"/>
      <c r="F937" s="10"/>
      <c r="H937" s="10"/>
      <c r="J937" s="10"/>
    </row>
    <row r="938" spans="2:10" ht="12.5" x14ac:dyDescent="0.25">
      <c r="B938" s="3"/>
      <c r="D938" s="10"/>
      <c r="F938" s="10"/>
      <c r="H938" s="10"/>
      <c r="J938" s="10"/>
    </row>
    <row r="939" spans="2:10" ht="12.5" x14ac:dyDescent="0.25">
      <c r="B939" s="3"/>
      <c r="D939" s="10"/>
      <c r="F939" s="10"/>
      <c r="H939" s="10"/>
      <c r="J939" s="10"/>
    </row>
    <row r="940" spans="2:10" ht="12.5" x14ac:dyDescent="0.25">
      <c r="B940" s="3"/>
      <c r="D940" s="10"/>
      <c r="F940" s="10"/>
      <c r="H940" s="10"/>
      <c r="J940" s="10"/>
    </row>
    <row r="941" spans="2:10" ht="12.5" x14ac:dyDescent="0.25">
      <c r="B941" s="3"/>
      <c r="D941" s="10"/>
      <c r="F941" s="10"/>
      <c r="H941" s="10"/>
      <c r="J941" s="10"/>
    </row>
    <row r="942" spans="2:10" ht="12.5" x14ac:dyDescent="0.25">
      <c r="B942" s="3"/>
      <c r="D942" s="10"/>
      <c r="F942" s="10"/>
      <c r="H942" s="10"/>
      <c r="J942" s="10"/>
    </row>
    <row r="943" spans="2:10" ht="12.5" x14ac:dyDescent="0.25">
      <c r="B943" s="3"/>
      <c r="D943" s="10"/>
      <c r="F943" s="10"/>
      <c r="H943" s="10"/>
      <c r="J943" s="10"/>
    </row>
    <row r="944" spans="2:10" ht="12.5" x14ac:dyDescent="0.25">
      <c r="B944" s="3"/>
      <c r="D944" s="10"/>
      <c r="F944" s="10"/>
      <c r="H944" s="10"/>
      <c r="J944" s="10"/>
    </row>
    <row r="945" spans="2:10" ht="12.5" x14ac:dyDescent="0.25">
      <c r="B945" s="3"/>
      <c r="D945" s="10"/>
      <c r="F945" s="10"/>
      <c r="H945" s="10"/>
      <c r="J945" s="10"/>
    </row>
    <row r="946" spans="2:10" ht="12.5" x14ac:dyDescent="0.25">
      <c r="B946" s="3"/>
      <c r="D946" s="10"/>
      <c r="F946" s="10"/>
      <c r="H946" s="10"/>
      <c r="J946" s="10"/>
    </row>
    <row r="947" spans="2:10" ht="12.5" x14ac:dyDescent="0.25">
      <c r="B947" s="3"/>
      <c r="D947" s="10"/>
      <c r="F947" s="10"/>
      <c r="H947" s="10"/>
      <c r="J947" s="10"/>
    </row>
    <row r="948" spans="2:10" ht="12.5" x14ac:dyDescent="0.25">
      <c r="B948" s="3"/>
      <c r="D948" s="10"/>
      <c r="F948" s="10"/>
      <c r="H948" s="10"/>
      <c r="J948" s="10"/>
    </row>
    <row r="949" spans="2:10" ht="12.5" x14ac:dyDescent="0.25">
      <c r="B949" s="3"/>
      <c r="D949" s="10"/>
      <c r="F949" s="10"/>
      <c r="H949" s="10"/>
      <c r="J949" s="10"/>
    </row>
    <row r="950" spans="2:10" ht="12.5" x14ac:dyDescent="0.25">
      <c r="B950" s="3"/>
      <c r="D950" s="10"/>
      <c r="F950" s="10"/>
      <c r="H950" s="10"/>
      <c r="J950" s="10"/>
    </row>
    <row r="951" spans="2:10" ht="12.5" x14ac:dyDescent="0.25">
      <c r="B951" s="3"/>
      <c r="D951" s="10"/>
      <c r="F951" s="10"/>
      <c r="H951" s="10"/>
      <c r="J951" s="10"/>
    </row>
    <row r="952" spans="2:10" ht="12.5" x14ac:dyDescent="0.25">
      <c r="B952" s="3"/>
      <c r="D952" s="10"/>
      <c r="F952" s="10"/>
      <c r="H952" s="10"/>
      <c r="J952" s="10"/>
    </row>
    <row r="953" spans="2:10" ht="12.5" x14ac:dyDescent="0.25">
      <c r="B953" s="3"/>
      <c r="D953" s="10"/>
      <c r="F953" s="10"/>
      <c r="H953" s="10"/>
      <c r="J953" s="10"/>
    </row>
    <row r="954" spans="2:10" ht="12.5" x14ac:dyDescent="0.25">
      <c r="B954" s="3"/>
      <c r="D954" s="10"/>
      <c r="F954" s="10"/>
      <c r="H954" s="10"/>
      <c r="J954" s="10"/>
    </row>
    <row r="955" spans="2:10" ht="12.5" x14ac:dyDescent="0.25">
      <c r="B955" s="3"/>
      <c r="D955" s="10"/>
      <c r="F955" s="10"/>
      <c r="H955" s="10"/>
      <c r="J955" s="10"/>
    </row>
    <row r="956" spans="2:10" ht="12.5" x14ac:dyDescent="0.25">
      <c r="B956" s="3"/>
      <c r="D956" s="10"/>
      <c r="F956" s="10"/>
      <c r="H956" s="10"/>
      <c r="J956" s="10"/>
    </row>
    <row r="957" spans="2:10" ht="12.5" x14ac:dyDescent="0.25">
      <c r="B957" s="3"/>
      <c r="D957" s="10"/>
      <c r="F957" s="10"/>
      <c r="H957" s="10"/>
      <c r="J957" s="10"/>
    </row>
    <row r="958" spans="2:10" ht="12.5" x14ac:dyDescent="0.25">
      <c r="B958" s="3"/>
      <c r="D958" s="10"/>
      <c r="F958" s="10"/>
      <c r="H958" s="10"/>
      <c r="J958" s="10"/>
    </row>
    <row r="959" spans="2:10" ht="12.5" x14ac:dyDescent="0.25">
      <c r="B959" s="3"/>
      <c r="D959" s="10"/>
      <c r="F959" s="10"/>
      <c r="H959" s="10"/>
      <c r="J959" s="10"/>
    </row>
    <row r="960" spans="2:10" ht="12.5" x14ac:dyDescent="0.25">
      <c r="B960" s="3"/>
      <c r="D960" s="10"/>
      <c r="F960" s="10"/>
      <c r="H960" s="10"/>
      <c r="J960" s="10"/>
    </row>
    <row r="961" spans="2:10" ht="12.5" x14ac:dyDescent="0.25">
      <c r="B961" s="3"/>
      <c r="D961" s="10"/>
      <c r="F961" s="10"/>
      <c r="H961" s="10"/>
      <c r="J961" s="10"/>
    </row>
    <row r="962" spans="2:10" ht="12.5" x14ac:dyDescent="0.25">
      <c r="B962" s="3"/>
      <c r="D962" s="10"/>
      <c r="F962" s="10"/>
      <c r="H962" s="10"/>
      <c r="J962" s="10"/>
    </row>
    <row r="963" spans="2:10" ht="12.5" x14ac:dyDescent="0.25">
      <c r="B963" s="3"/>
      <c r="D963" s="10"/>
      <c r="F963" s="10"/>
      <c r="H963" s="10"/>
      <c r="J963" s="10"/>
    </row>
    <row r="964" spans="2:10" ht="12.5" x14ac:dyDescent="0.25">
      <c r="B964" s="3"/>
      <c r="D964" s="10"/>
      <c r="F964" s="10"/>
      <c r="H964" s="10"/>
      <c r="J964" s="10"/>
    </row>
    <row r="965" spans="2:10" ht="12.5" x14ac:dyDescent="0.25">
      <c r="B965" s="3"/>
      <c r="D965" s="10"/>
      <c r="F965" s="10"/>
      <c r="H965" s="10"/>
      <c r="J965" s="10"/>
    </row>
    <row r="966" spans="2:10" ht="12.5" x14ac:dyDescent="0.25">
      <c r="B966" s="3"/>
      <c r="D966" s="10"/>
      <c r="F966" s="10"/>
      <c r="H966" s="10"/>
      <c r="J966" s="10"/>
    </row>
    <row r="967" spans="2:10" ht="12.5" x14ac:dyDescent="0.25">
      <c r="B967" s="3"/>
      <c r="D967" s="10"/>
      <c r="F967" s="10"/>
      <c r="H967" s="10"/>
      <c r="J967" s="10"/>
    </row>
    <row r="968" spans="2:10" ht="12.5" x14ac:dyDescent="0.25">
      <c r="B968" s="3"/>
      <c r="D968" s="10"/>
      <c r="F968" s="10"/>
      <c r="H968" s="10"/>
      <c r="J968" s="10"/>
    </row>
    <row r="969" spans="2:10" ht="12.5" x14ac:dyDescent="0.25">
      <c r="B969" s="3"/>
      <c r="D969" s="10"/>
      <c r="F969" s="10"/>
      <c r="H969" s="10"/>
      <c r="J969" s="10"/>
    </row>
    <row r="970" spans="2:10" ht="12.5" x14ac:dyDescent="0.25">
      <c r="B970" s="3"/>
      <c r="D970" s="10"/>
      <c r="F970" s="10"/>
      <c r="H970" s="10"/>
      <c r="J970" s="10"/>
    </row>
    <row r="971" spans="2:10" ht="12.5" x14ac:dyDescent="0.25">
      <c r="B971" s="3"/>
      <c r="D971" s="10"/>
      <c r="F971" s="10"/>
      <c r="H971" s="10"/>
      <c r="J971" s="10"/>
    </row>
    <row r="972" spans="2:10" ht="12.5" x14ac:dyDescent="0.25">
      <c r="B972" s="3"/>
      <c r="D972" s="10"/>
      <c r="F972" s="10"/>
      <c r="H972" s="10"/>
      <c r="J972" s="10"/>
    </row>
    <row r="973" spans="2:10" ht="12.5" x14ac:dyDescent="0.25">
      <c r="B973" s="3"/>
      <c r="D973" s="10"/>
      <c r="F973" s="10"/>
      <c r="H973" s="10"/>
      <c r="J973" s="10"/>
    </row>
    <row r="974" spans="2:10" ht="12.5" x14ac:dyDescent="0.25">
      <c r="B974" s="3"/>
      <c r="D974" s="10"/>
      <c r="F974" s="10"/>
      <c r="H974" s="10"/>
      <c r="J974" s="10"/>
    </row>
    <row r="975" spans="2:10" ht="12.5" x14ac:dyDescent="0.25">
      <c r="B975" s="3"/>
      <c r="D975" s="10"/>
      <c r="F975" s="10"/>
      <c r="H975" s="10"/>
      <c r="J975" s="10"/>
    </row>
    <row r="976" spans="2:10" ht="12.5" x14ac:dyDescent="0.25">
      <c r="B976" s="3"/>
      <c r="D976" s="10"/>
      <c r="F976" s="10"/>
      <c r="H976" s="10"/>
      <c r="J976" s="10"/>
    </row>
    <row r="977" spans="2:10" ht="12.5" x14ac:dyDescent="0.25">
      <c r="B977" s="3"/>
      <c r="D977" s="10"/>
      <c r="F977" s="10"/>
      <c r="H977" s="10"/>
      <c r="J977" s="10"/>
    </row>
    <row r="978" spans="2:10" ht="12.5" x14ac:dyDescent="0.25">
      <c r="B978" s="3"/>
      <c r="D978" s="10"/>
      <c r="F978" s="10"/>
      <c r="H978" s="10"/>
      <c r="J978" s="10"/>
    </row>
    <row r="979" spans="2:10" ht="12.5" x14ac:dyDescent="0.25">
      <c r="B979" s="3"/>
      <c r="D979" s="10"/>
      <c r="F979" s="10"/>
      <c r="H979" s="10"/>
      <c r="J979" s="10"/>
    </row>
    <row r="980" spans="2:10" ht="12.5" x14ac:dyDescent="0.25">
      <c r="B980" s="3"/>
      <c r="D980" s="10"/>
      <c r="F980" s="10"/>
      <c r="H980" s="10"/>
      <c r="J980" s="10"/>
    </row>
    <row r="981" spans="2:10" ht="12.5" x14ac:dyDescent="0.25">
      <c r="B981" s="3"/>
      <c r="D981" s="10"/>
      <c r="F981" s="10"/>
      <c r="H981" s="10"/>
      <c r="J981" s="10"/>
    </row>
    <row r="982" spans="2:10" ht="12.5" x14ac:dyDescent="0.25">
      <c r="B982" s="3"/>
      <c r="D982" s="10"/>
      <c r="F982" s="10"/>
      <c r="H982" s="10"/>
      <c r="J982" s="10"/>
    </row>
    <row r="983" spans="2:10" ht="12.5" x14ac:dyDescent="0.25">
      <c r="B983" s="3"/>
      <c r="D983" s="10"/>
      <c r="F983" s="10"/>
      <c r="H983" s="10"/>
      <c r="J983" s="10"/>
    </row>
    <row r="984" spans="2:10" ht="12.5" x14ac:dyDescent="0.25">
      <c r="B984" s="3"/>
      <c r="D984" s="10"/>
      <c r="F984" s="10"/>
      <c r="H984" s="10"/>
      <c r="J984" s="10"/>
    </row>
    <row r="985" spans="2:10" ht="12.5" x14ac:dyDescent="0.25">
      <c r="B985" s="3"/>
      <c r="D985" s="10"/>
      <c r="F985" s="10"/>
      <c r="H985" s="10"/>
      <c r="J985" s="10"/>
    </row>
    <row r="986" spans="2:10" ht="12.5" x14ac:dyDescent="0.25">
      <c r="B986" s="3"/>
      <c r="D986" s="10"/>
      <c r="F986" s="10"/>
      <c r="H986" s="10"/>
      <c r="J986" s="10"/>
    </row>
    <row r="987" spans="2:10" ht="12.5" x14ac:dyDescent="0.25">
      <c r="B987" s="3"/>
      <c r="D987" s="10"/>
      <c r="F987" s="10"/>
      <c r="H987" s="10"/>
      <c r="J987" s="10"/>
    </row>
    <row r="988" spans="2:10" ht="12.5" x14ac:dyDescent="0.25">
      <c r="B988" s="3"/>
      <c r="D988" s="10"/>
      <c r="F988" s="10"/>
      <c r="H988" s="10"/>
      <c r="J988" s="10"/>
    </row>
    <row r="989" spans="2:10" ht="12.5" x14ac:dyDescent="0.25">
      <c r="B989" s="3"/>
      <c r="D989" s="10"/>
      <c r="F989" s="10"/>
      <c r="H989" s="10"/>
      <c r="J989" s="10"/>
    </row>
    <row r="990" spans="2:10" ht="12.5" x14ac:dyDescent="0.25">
      <c r="B990" s="3"/>
      <c r="D990" s="10"/>
      <c r="F990" s="10"/>
      <c r="H990" s="10"/>
      <c r="J990" s="10"/>
    </row>
    <row r="991" spans="2:10" ht="12.5" x14ac:dyDescent="0.25">
      <c r="B991" s="3"/>
      <c r="D991" s="10"/>
      <c r="F991" s="10"/>
      <c r="H991" s="10"/>
      <c r="J991" s="10"/>
    </row>
    <row r="992" spans="2:10" ht="12.5" x14ac:dyDescent="0.25">
      <c r="B992" s="3"/>
      <c r="D992" s="10"/>
      <c r="F992" s="10"/>
      <c r="H992" s="10"/>
      <c r="J992" s="10"/>
    </row>
    <row r="993" spans="2:10" ht="12.5" x14ac:dyDescent="0.25">
      <c r="B993" s="3"/>
      <c r="D993" s="10"/>
      <c r="F993" s="10"/>
      <c r="H993" s="10"/>
      <c r="J993" s="10"/>
    </row>
    <row r="994" spans="2:10" ht="12.5" x14ac:dyDescent="0.25">
      <c r="B994" s="3"/>
      <c r="D994" s="10"/>
      <c r="F994" s="10"/>
      <c r="H994" s="10"/>
      <c r="J994" s="10"/>
    </row>
    <row r="995" spans="2:10" ht="12.5" x14ac:dyDescent="0.25">
      <c r="B995" s="3"/>
      <c r="D995" s="10"/>
      <c r="F995" s="10"/>
      <c r="H995" s="10"/>
      <c r="J995" s="10"/>
    </row>
    <row r="996" spans="2:10" ht="12.5" x14ac:dyDescent="0.25">
      <c r="B996" s="3"/>
      <c r="D996" s="10"/>
      <c r="F996" s="10"/>
      <c r="H996" s="10"/>
      <c r="J996" s="10"/>
    </row>
    <row r="997" spans="2:10" ht="12.5" x14ac:dyDescent="0.25">
      <c r="B997" s="3"/>
      <c r="D997" s="10"/>
      <c r="F997" s="10"/>
      <c r="H997" s="10"/>
      <c r="J997" s="10"/>
    </row>
    <row r="998" spans="2:10" ht="12.5" x14ac:dyDescent="0.25">
      <c r="B998" s="3"/>
      <c r="D998" s="10"/>
      <c r="F998" s="10"/>
      <c r="H998" s="10"/>
      <c r="J998" s="10"/>
    </row>
    <row r="999" spans="2:10" ht="12.5" x14ac:dyDescent="0.25">
      <c r="B999" s="3"/>
      <c r="D999" s="10"/>
      <c r="F999" s="10"/>
      <c r="H999" s="10"/>
      <c r="J999" s="10"/>
    </row>
    <row r="1000" spans="2:10" ht="12.5" x14ac:dyDescent="0.25">
      <c r="B1000" s="3"/>
      <c r="D1000" s="10"/>
      <c r="F1000" s="10"/>
      <c r="H1000" s="10"/>
      <c r="J1000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Soal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alin karisa h.</cp:lastModifiedBy>
  <dcterms:modified xsi:type="dcterms:W3CDTF">2024-08-13T07:52:11Z</dcterms:modified>
</cp:coreProperties>
</file>