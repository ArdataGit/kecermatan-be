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<sst xmlns="http://schemas.openxmlformats.org/spreadsheetml/2006/main" count="279" uniqueCount="222">
  <si>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</si>
  <si>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</si>
  <si>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</si>
  <si>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</si>
  <si>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</si>
  <si>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</si>
  <si>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</si>
  <si>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</si>
  <si>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</si>
  <si>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</si>
  <si>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</si>
  <si>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</si>
  <si>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</si>
  <si>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</si>
  <si>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Pancasila</t>
  </si>
  <si>
    <t>Apa peran Pancasila sebagai dasar negara?</t>
  </si>
  <si>
    <t>Sebagai panduan dalam penyusunan peraturan perundang-undangan</t>
  </si>
  <si>
    <t>Sebagai dasar kebijakan ekonomi</t>
  </si>
  <si>
    <t>Sebagai pedoman hubungan internasional</t>
  </si>
  <si>
    <t>Sebagai dasar politik luar negeri</t>
  </si>
  <si>
    <t>Sebagai landasan pembangunan infrastruktur</t>
  </si>
  <si>
    <t>Pancasila berperan sebagai dasar negara yang menjadi panduan dalam penyusunan peraturan perundang-undangan di Indonesia.</t>
  </si>
  <si>
    <t>Apa tantangan terbesar dalam implementasi Pancasila di era modern ini?</t>
  </si>
  <si>
    <t>Munculnya radikalisme dan intoleransi</t>
  </si>
  <si>
    <t>Ketidakadilan sosial</t>
  </si>
  <si>
    <t>Meningkatnya kriminalitas</t>
  </si>
  <si>
    <t>Kesenjangan teknologi</t>
  </si>
  <si>
    <t>Pengaruh budaya asing yang negatif</t>
  </si>
  <si>
    <t>Munculnya radikalisme dan intoleransi menjadi tantangan terbesar dalam implementasi nilai-nilai Pancasila di era modern ini.</t>
  </si>
  <si>
    <t>Bagaimana cara mengimplementasikan sila pertama Pancasila dalam kehidupan sehari-hari?</t>
  </si>
  <si>
    <t>Menghormati kepercayaan orang lain</t>
  </si>
  <si>
    <t>Mengabaikan keyakinan agama lain</t>
  </si>
  <si>
    <t>Menyebarkan kebencian terhadap agama lain</t>
  </si>
  <si>
    <t>Mengutamakan kepentingan pribadi</t>
  </si>
  <si>
    <t>Melakukan kegiatan sosial dengan sesama umat beragama</t>
  </si>
  <si>
    <t>Sila pertama Pancasila mengajarkan untuk menghormati kepercayaan dan keyakinan orang lain dalam kehidupan bermasyarakat.</t>
  </si>
  <si>
    <t>Apa makna dari sila ketiga Pancasila, "Persatuan Indonesia"?</t>
  </si>
  <si>
    <t>Menjaga keutuhan NKRI</t>
  </si>
  <si>
    <t>Mengutamakan kepentingan daerah</t>
  </si>
  <si>
    <t>Memperkuat relasi internasional</t>
  </si>
  <si>
    <t>Membentuk aliansi politik dengan negara lain</t>
  </si>
  <si>
    <t>Menjaga hubungan baik antar kelompok</t>
  </si>
  <si>
    <t>Sila ketiga Pancasila bermakna menjaga keutuhan Negara Kesatuan Republik Indonesia dengan mengutamakan persatuan dan kesatuan.</t>
  </si>
  <si>
    <t>Apa tujuan dari pendidikan Pancasila bagi generasi muda?</t>
  </si>
  <si>
    <t>Meningkatkan kualitas hidup</t>
  </si>
  <si>
    <t>Menanamkan nilai-nilai kebangsaan</t>
  </si>
  <si>
    <t>Mempromosikan gaya hidup modern</t>
  </si>
  <si>
    <t>Mengutamakan karir internasional</t>
  </si>
  <si>
    <t>Mengajarkan teknologi terkini</t>
  </si>
  <si>
    <t>Tujuan pendidikan Pancasila adalah menanamkan nilai-nilai kebangsaan dan cinta tanah air bagi generasi muda sebagai penerus bangsa.</t>
  </si>
  <si>
    <t>Apa yang dimaksud dengan nilai ketuhanan yang terkandung dalam sila pertama Pancasila?</t>
  </si>
  <si>
    <t>Pengakuan terhadap kebebasan beragama</t>
  </si>
  <si>
    <t>Mengutamakan ajaran agama tertentu</t>
  </si>
  <si>
    <t>Menolak ajaran agama lain</t>
  </si>
  <si>
    <t>Menyebarkan ajaran agama dengan paksaan</t>
  </si>
  <si>
    <t>Mempromosikan ateisme</t>
  </si>
  <si>
    <t>Nilai ketuhanan dalam sila pertama Pancasila bermakna pengakuan terhadap kebebasan beragama dan penghormatan terhadap keyakinan orang lain.</t>
  </si>
  <si>
    <t>Undang-Undang Dasar 1945</t>
  </si>
  <si>
    <t>Dalam UUD 1945, apa yang diatur dalam Bab III?</t>
  </si>
  <si>
    <t>Struktur pemerintahan</t>
  </si>
  <si>
    <t>Hak dan kewajiban warga negara</t>
  </si>
  <si>
    <t>Pembagian kekuasaan</t>
  </si>
  <si>
    <t>Hak asasi manusia</t>
  </si>
  <si>
    <t>Pemerintahan daerah</t>
  </si>
  <si>
    <t>Bab III UUD 1945 mengatur tentang struktur pemerintahan.</t>
  </si>
  <si>
    <t>Apa yang dimaksud dengan "Hak Ekonomi dan Sosial" dalam konteks UUD 1945?</t>
  </si>
  <si>
    <t>Hak atas pekerjaan dan kehidupan layak</t>
  </si>
  <si>
    <t>Hak atas pendidikan</t>
  </si>
  <si>
    <t>Hak untuk memilih dan dipilih</t>
  </si>
  <si>
    <t>Hak atas kesehatan</t>
  </si>
  <si>
    <t>Hak atas properti</t>
  </si>
  <si>
    <t>Hak Ekonomi dan Sosial dalam UUD 1945 mencakup hak atas pekerjaan dan kehidupan yang layak.</t>
  </si>
  <si>
    <t>Dalam UUD 1945, apa fungsi dari DPR?</t>
  </si>
  <si>
    <t>Membentuk undang-undang</t>
  </si>
  <si>
    <t>Menetapkan Presiden dan Wakil Presiden</t>
  </si>
  <si>
    <t>Mengawasi jalannya pemerintahan</t>
  </si>
  <si>
    <t>Membuat keputusan anggaran</t>
  </si>
  <si>
    <t>Mengatur hubungan internasional</t>
  </si>
  <si>
    <t>DPR bertugas membentuk undang-undang dan mengawasi jalannya pemerintahan.</t>
  </si>
  <si>
    <t>Apa isi dari Pasal 31 UUD 1945?</t>
  </si>
  <si>
    <t>Hak atas pekerjaan</t>
  </si>
  <si>
    <t>Hak atas perlakuan yang sama di hadapan hukum</t>
  </si>
  <si>
    <t>Hak untuk berkumpul</t>
  </si>
  <si>
    <t>Pasal 31 UUD 1945 mengatur tentang hak atas pendidikan.</t>
  </si>
  <si>
    <t>Apa yang dimaksud dengan "Pengadilan Konstitusi" menurut UUD 1945?</t>
  </si>
  <si>
    <t>Pengadilan untuk kasus-kasus pidana</t>
  </si>
  <si>
    <t>Pengadilan untuk sengketa administratif</t>
  </si>
  <si>
    <t>Pengadilan yang memeriksa undang-undang</t>
  </si>
  <si>
    <t>Pengadilan untuk sengketa perdata</t>
  </si>
  <si>
    <t>Pengadilan untuk kasus hak asasi manusia</t>
  </si>
  <si>
    <t>Pengadilan Konstitusi berfungsi untuk memeriksa undang-undang dan peraturan yang bertentangan dengan UUD 1945.</t>
  </si>
  <si>
    <t>Pada amandemen kedua, apa yang menjadi fokus utama dari perubahan tersebut?</t>
  </si>
  <si>
    <t>Pembentukan lembaga negara baru</t>
  </si>
  <si>
    <t>Pengaturan otonomi daerah</t>
  </si>
  <si>
    <t>Pengaturan kekuasaan kehakiman</t>
  </si>
  <si>
    <t>Pengaturan hak asasi manusia</t>
  </si>
  <si>
    <t>Pembentukan Mahkamah Konstitusi</t>
  </si>
  <si>
    <t>Amandemen kedua fokus pada pembentukan Mahkamah Konstitusi.</t>
  </si>
  <si>
    <t>Bhineka Tunggal Ika</t>
  </si>
  <si>
    <t>Apa yang harus dilakukan oleh organisasi non-pemerintah untuk mendukung prinsip Bhineka Tunggal Ika?</t>
  </si>
  <si>
    <t>Mengabaikan keberagaman dalam program-programnya</t>
  </si>
  <si>
    <t>Menyusun program yang mendukung keberagaman dan integrasi sosial</t>
  </si>
  <si>
    <t>Fokus pada program yang hanya melayani kelompok tertentu</t>
  </si>
  <si>
    <t>Menetapkan batasan-batasan untuk kelompok minoritas</t>
  </si>
  <si>
    <t>Menerapkan kebijakan yang mendiskriminasi kelompok tertentu</t>
  </si>
  <si>
    <t>Organisasi non-pemerintah dapat mendukung prinsip Bhineka Tunggal Ika dengan menyusun program yang mendukung keberagaman dan integrasi sosial.</t>
  </si>
  <si>
    <t>Apa yang harus dilakukan oleh sektor swasta untuk mendukung prinsip Bhineka Tunggal Ika?</t>
  </si>
  <si>
    <t>Menerapkan kebijakan perekrutan yang diskriminatif</t>
  </si>
  <si>
    <t>Mendorong keberagaman dan inklusi dalam lingkungan kerja</t>
  </si>
  <si>
    <t>Mengabaikan keberagaman dalam kebijakan perusahaan</t>
  </si>
  <si>
    <t>Mengutamakan satu kelompok dalam promosi dan kesempatan kerja</t>
  </si>
  <si>
    <t>Membatasi akses ke kesempatan kerja untuk kelompok minoritas</t>
  </si>
  <si>
    <t>Sektor swasta dapat mendukung prinsip Bhineka Tunggal Ika dengan mendorong keberagaman dan inklusi dalam lingkungan kerja.</t>
  </si>
  <si>
    <t>Apa peran pemerintah dalam menjaga prinsip Bhineka Tunggal Ika dalam konteks sosial?</t>
  </si>
  <si>
    <t>Menerapkan kebijakan yang mendiskriminasi kelompok minoritas</t>
  </si>
  <si>
    <t>Mendorong partisipasi aktif semua kelompok dalam pembuatan kebijakan</t>
  </si>
  <si>
    <t>Mengabaikan keberagaman dalam kebijakan sosial</t>
  </si>
  <si>
    <t>Menetapkan batasan bagi kelompok tertentu untuk menghindari konflik</t>
  </si>
  <si>
    <t>Menerapkan kebijakan yang hanya menguntungkan kelompok mayoritas</t>
  </si>
  <si>
    <t>Peran pemerintah dalam menjaga prinsip Bhineka Tunggal Ika adalah mendorong partisipasi aktif semua kelompok dalam pembuatan kebijakan.</t>
  </si>
  <si>
    <t>Apa yang harus dilakukan oleh institusi pendidikan untuk mendukung prinsip Bhineka Tunggal Ika?</t>
  </si>
  <si>
    <t>Menerapkan kurikulum yang hanya menekankan satu budaya</t>
  </si>
  <si>
    <t>Mengintegrasikan berbagai perspektif budaya dalam kurikulum</t>
  </si>
  <si>
    <t>Mengabaikan kebutuhan pendidikan untuk kelompok minoritas</t>
  </si>
  <si>
    <t>Menyediakan fasilitas pendidikan yang hanya untuk kelompok tertentu</t>
  </si>
  <si>
    <t>Mengatur kurikulum berdasarkan pandangan mayoritas</t>
  </si>
  <si>
    <t>Institusi pendidikan mendukung prinsip Bhineka Tunggal Ika dengan mengintegrasikan berbagai perspektif budaya dalam kurikulum.</t>
  </si>
  <si>
    <t>Apa yang dimaksud dengan "kesatuan dalam keragaman" menurut prinsip Bhineka Tunggal Ika?</t>
  </si>
  <si>
    <t>Semua kelompok harus mengikuti norma yang sama</t>
  </si>
  <si>
    <t>Menghormati dan merayakan perbedaan sambil tetap menjaga persatuan</t>
  </si>
  <si>
    <t>Mengutamakan satu kelompok untuk menjaga stabilitas sosial</t>
  </si>
  <si>
    <t>Menghilangkan perbedaan untuk mencapai kesamaan</t>
  </si>
  <si>
    <t>Memaksakan keseragaman untuk mencegah konflik</t>
  </si>
  <si>
    <t>"Kesatuan dalam keragaman" berarti menghormati dan merayakan perbedaan sambil tetap menjaga persatuan.</t>
  </si>
  <si>
    <t>Apa saja upaya yang bisa dilakukan untuk menghadapi ancaman terhadap prinsip Bhineka Tunggal Ika?</t>
  </si>
  <si>
    <t>Mengabaikan masalah sosial dan konflik</t>
  </si>
  <si>
    <t>Mengedukasi masyarakat tentang pentingnya keberagaman dan toleransi</t>
  </si>
  <si>
    <t>Menerapkan kebijakan yang membatasi hak kelompok minoritas</t>
  </si>
  <si>
    <t>Mengisolasi kelompok yang dianggap sebagai ancaman</t>
  </si>
  <si>
    <t>Menerapkan kebijakan yang mempromosikan keseragaman budaya</t>
  </si>
  <si>
    <t>Upaya untuk menghadapi ancaman terhadap prinsip Bhineka Tunggal Ika termasuk mengedukasi masyarakat tentang pentingnya keberagaman dan toleransi.</t>
  </si>
  <si>
    <t xml:space="preserve"> Negara Kesatuan Republik Indonesia (NKRI)</t>
  </si>
  <si>
    <t>Siapa yang memiliki wewenang untuk menyatakan keadaan darurat di NKRI?</t>
  </si>
  <si>
    <t>Presiden</t>
  </si>
  <si>
    <t>Panglima TNI</t>
  </si>
  <si>
    <t>Kepala Polri</t>
  </si>
  <si>
    <t>Menteri Pertahanan</t>
  </si>
  <si>
    <t>DPR</t>
  </si>
  <si>
    <t>Presiden memiliki wewenang untuk menyatakan keadaan darurat di NKRI, berdasarkan konstitusi.</t>
  </si>
  <si>
    <t>Apa yang menjadi fokus utama dalam menjaga kedaulatan NKRI dari ancaman luar?</t>
  </si>
  <si>
    <t>Meningkatkan hubungan internasional</t>
  </si>
  <si>
    <t>Meningkatkan kekuatan militer</t>
  </si>
  <si>
    <t>Meningkatkan kesejahteraan rakyat</t>
  </si>
  <si>
    <t>Mengembangkan teknologi</t>
  </si>
  <si>
    <t>Meningkatkan ekonomi</t>
  </si>
  <si>
    <t>Fokus utama dalam menjaga kedaulatan NKRI dari ancaman luar adalah meningkatkan kekuatan militer dan pertahanan negara.</t>
  </si>
  <si>
    <t>Apa yang menjadi bagian dari sistem pertahanan NKRI?</t>
  </si>
  <si>
    <t>Hanya militer</t>
  </si>
  <si>
    <t>Militer dan Kepolisian</t>
  </si>
  <si>
    <t>Hanya Kepolisian</t>
  </si>
  <si>
    <t>Militer, Kepolisian, dan masyarakat</t>
  </si>
  <si>
    <t>Hanya masyarakat</t>
  </si>
  <si>
    <t>Sistem pertahanan NKRI melibatkan militer, kepolisian, dan masyarakat dalam menjaga keamanan dan keutuhan negara.</t>
  </si>
  <si>
    <t>Apa yang dimaksud dengan ancaman ideologi terhadap NKRI?</t>
  </si>
  <si>
    <t>Ancaman dari ideologi yang tidak sesuai dengan Pancasila</t>
  </si>
  <si>
    <t>Ancaman dari ketidakstabilan ekonomi</t>
  </si>
  <si>
    <t>Ancaman dari bencana alam</t>
  </si>
  <si>
    <t>Ancaman dari konflik sosial</t>
  </si>
  <si>
    <t>Ancaman dari pengaruh budaya asing</t>
  </si>
  <si>
    <t>Ancaman ideologi adalah ancaman yang berasal dari ideologi yang bertentangan dengan Pancasila.</t>
  </si>
  <si>
    <t>Apa yang menjadi dasar pertahanan negara Indonesia?</t>
  </si>
  <si>
    <t>Doktrin Pertahanan Rakyat Semesta</t>
  </si>
  <si>
    <t>Doktrin Pertahanan Terpadu</t>
  </si>
  <si>
    <t>Doktrin Pertahanan Nasional</t>
  </si>
  <si>
    <t>Doktrin Keamanan Wilayah</t>
  </si>
  <si>
    <t>Doktrin Keamanan Publik</t>
  </si>
  <si>
    <t>Dasar pertahanan negara Indonesia adalah Doktrin Pertahanan Rakyat Semesta (Sishankamrata).</t>
  </si>
  <si>
    <t>Apa yang dilakukan pemerintah dalam menghadapi ancaman keamanan negara?</t>
  </si>
  <si>
    <t>Mengabaikan ancaman</t>
  </si>
  <si>
    <t>Menyusun strategi keamanan</t>
  </si>
  <si>
    <t>Mengandalkan bantuan internasional</t>
  </si>
  <si>
    <t>Fokus pada masalah ekonomi</t>
  </si>
  <si>
    <t>Mengabaikan keamanan internal</t>
  </si>
  <si>
    <t>Pemerintah menyusun strategi keamanan untuk menghadapi ancaman keamanan negara.</t>
  </si>
  <si>
    <t>Sejarah Perjuangan Bangsa</t>
  </si>
  <si>
    <t>Apa yang menjadi dampak dari Peristiwa Rengasdengklok bagi perjuangan kemerdekaan Indonesia?</t>
  </si>
  <si>
    <t>Menguatkan semangat kemerdekaan</t>
  </si>
  <si>
    <t>Mempercepat proses diplomasi</t>
  </si>
  <si>
    <t>Mengundang intervensi asing</t>
  </si>
  <si>
    <t>Membuka peluang perundingan damai</t>
  </si>
  <si>
    <t>Membentuk tentara nasional</t>
  </si>
  <si>
    <t>Peristiwa Rengasdengklok menguatkan semangat kemerdekaan dan mendorong Soekarno-Hatta untuk segera memproklamasikan kemerdekaan.</t>
  </si>
  <si>
    <t>Siapakah tokoh perempuan yang memimpin perlawanan di Aceh bersama suaminya Teuku Umar?</t>
  </si>
  <si>
    <t>Cut Nyak Dien</t>
  </si>
  <si>
    <t>Cut Meutia</t>
  </si>
  <si>
    <t>Kartini</t>
  </si>
  <si>
    <t>Dewi Sartika</t>
  </si>
  <si>
    <t>Martha Christina Tiahahu</t>
  </si>
  <si>
    <t>Cut Nyak Dien adalah tokoh perempuan yang memimpin perlawanan di Aceh bersama suaminya Teuku Umar melawan penjajah Belanda.</t>
  </si>
  <si>
    <t>Apa yang menjadi pemicu terjadinya Perang Diponegoro?</t>
  </si>
  <si>
    <t>Penindasan oleh Belanda</t>
  </si>
  <si>
    <t>Pembangunan jalan yang melewati makam leluhur Diponegoro</t>
  </si>
  <si>
    <t>Penolakan pajak oleh rakyat</t>
  </si>
  <si>
    <t>Perebutan kekuasaan kerajaan</t>
  </si>
  <si>
    <t>Penangkapan Diponegoro</t>
  </si>
  <si>
    <t>Perang Diponegoro dipicu oleh pembangunan jalan oleh Belanda yang melewati makam leluhur Pangeran Diponegoro di Tegalrejo.</t>
  </si>
  <si>
    <t>Kapan Peristiwa G30S/PKI terjadi?</t>
  </si>
  <si>
    <t>Peristiwa G30S/PKI terjadi pada malam 30 September 1965, dan merupakan upaya kudeta yang dilakukan oleh Partai Komunis Indonesia.</t>
  </si>
  <si>
    <t>Siapakah tokoh yang dikenal sebagai Bapak Pendidikan Nasional Indonesia?</t>
  </si>
  <si>
    <t>Ki Hadjar Dewantara</t>
  </si>
  <si>
    <t>Moh. Yamin</t>
  </si>
  <si>
    <t>Soepomo</t>
  </si>
  <si>
    <t>Tan Malaka</t>
  </si>
  <si>
    <t>H.O.S. Tjokroaminoto</t>
  </si>
  <si>
    <t>Ki Hadjar Dewantara (Raden Mas Soewardi Soerjaningrat) dikenal sebagai Bapak Pendidikan Nasional Indonesia dan pendiri Taman Siswa.</t>
  </si>
  <si>
    <t>Apa nilai utama dari perjuangan R.A. Kartini yang relevan hingga saat ini?</t>
  </si>
  <si>
    <t>Kesetaraan hak perempuan</t>
  </si>
  <si>
    <t>Kebebasan beragama</t>
  </si>
  <si>
    <t>Kebebasan pers</t>
  </si>
  <si>
    <t>Persatuan dan kesatuan bangsa</t>
  </si>
  <si>
    <t>Kemandirian ekonomi</t>
  </si>
  <si>
    <t>R.A. Kartini dikenal dengan perjuangannya untuk kesetaraan hak perempuan, khususnya dalam bidang pendidikan, yang relevan hingga saat ini.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</si>
</sst>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" t="s">
        <v>14</v>
      </c>
      <c r="B2" s="2" t="s">
        <v>15</v>
      </c>
      <c r="C2" s="2" t="s">
        <v>16</v>
      </c>
      <c r="D2" s="3">
        <f t="shared" ref="D2:D13" si="1">IF(N2="A", 1, 0)</f>
        <v>1</v>
      </c>
      <c r="E2" s="2" t="s">
        <v>17</v>
      </c>
      <c r="F2" s="3">
        <f t="shared" ref="F2:F13" si="2">IF(N2="B", 1, 0)</f>
        <v>0</v>
      </c>
      <c r="G2" s="2" t="s">
        <v>18</v>
      </c>
      <c r="H2" s="3">
        <f t="shared" ref="H2:H13" si="3">IF(N2="C", 1, 0)</f>
        <v>0</v>
      </c>
      <c r="I2" s="2" t="s">
        <v>19</v>
      </c>
      <c r="J2" s="3">
        <f t="shared" ref="J2:J13" si="4">IF(N2="D", 1, 0)</f>
        <v>0</v>
      </c>
      <c r="K2" s="2" t="s">
        <v>20</v>
      </c>
      <c r="L2" s="3">
        <f t="shared" ref="L2:L13" si="5">IF(N2="E", 1, 0)</f>
        <v>0</v>
      </c>
      <c r="M2" s="2" t="s">
        <v>21</v>
      </c>
      <c r="N2" s="2" t="s">
        <v>2</v>
      </c>
    </row>
    <row r="3">
      <c r="A3" s="2" t="s">
        <v>14</v>
      </c>
      <c r="B3" s="2" t="s">
        <v>22</v>
      </c>
      <c r="C3" s="4" t="s">
        <v>23</v>
      </c>
      <c r="D3" s="3">
        <f t="shared" si="1"/>
        <v>1</v>
      </c>
      <c r="E3" s="4" t="s">
        <v>24</v>
      </c>
      <c r="F3" s="3">
        <f t="shared" si="2"/>
        <v>0</v>
      </c>
      <c r="G3" s="4" t="s">
        <v>25</v>
      </c>
      <c r="H3" s="3">
        <f t="shared" si="3"/>
        <v>0</v>
      </c>
      <c r="I3" s="4" t="s">
        <v>26</v>
      </c>
      <c r="J3" s="3">
        <f t="shared" si="4"/>
        <v>0</v>
      </c>
      <c r="K3" s="4" t="s">
        <v>27</v>
      </c>
      <c r="L3" s="3">
        <f t="shared" si="5"/>
        <v>0</v>
      </c>
      <c r="M3" s="2" t="s">
        <v>28</v>
      </c>
      <c r="N3" s="2" t="s">
        <v>2</v>
      </c>
    </row>
    <row r="4">
      <c r="A4" s="2" t="s">
        <v>14</v>
      </c>
      <c r="B4" s="2" t="s">
        <v>29</v>
      </c>
      <c r="C4" s="2" t="s">
        <v>30</v>
      </c>
      <c r="D4" s="3">
        <f t="shared" si="1"/>
        <v>1</v>
      </c>
      <c r="E4" s="2" t="s">
        <v>31</v>
      </c>
      <c r="F4" s="3">
        <f t="shared" si="2"/>
        <v>0</v>
      </c>
      <c r="G4" s="2" t="s">
        <v>32</v>
      </c>
      <c r="H4" s="3">
        <f t="shared" si="3"/>
        <v>0</v>
      </c>
      <c r="I4" s="2" t="s">
        <v>33</v>
      </c>
      <c r="J4" s="3">
        <f t="shared" si="4"/>
        <v>0</v>
      </c>
      <c r="K4" s="2" t="s">
        <v>34</v>
      </c>
      <c r="L4" s="3">
        <f t="shared" si="5"/>
        <v>0</v>
      </c>
      <c r="M4" s="2" t="s">
        <v>35</v>
      </c>
      <c r="N4" s="2" t="s">
        <v>2</v>
      </c>
    </row>
    <row r="5">
      <c r="A5" s="2" t="s">
        <v>14</v>
      </c>
      <c r="B5" s="2" t="s">
        <v>36</v>
      </c>
      <c r="C5" s="2" t="s">
        <v>37</v>
      </c>
      <c r="D5" s="3">
        <f t="shared" si="1"/>
        <v>1</v>
      </c>
      <c r="E5" s="2" t="s">
        <v>38</v>
      </c>
      <c r="F5" s="3">
        <f t="shared" si="2"/>
        <v>0</v>
      </c>
      <c r="G5" s="2" t="s">
        <v>39</v>
      </c>
      <c r="H5" s="3">
        <f t="shared" si="3"/>
        <v>0</v>
      </c>
      <c r="I5" s="2" t="s">
        <v>40</v>
      </c>
      <c r="J5" s="3">
        <f t="shared" si="4"/>
        <v>0</v>
      </c>
      <c r="K5" s="2" t="s">
        <v>41</v>
      </c>
      <c r="L5" s="3">
        <f t="shared" si="5"/>
        <v>0</v>
      </c>
      <c r="M5" s="2" t="s">
        <v>42</v>
      </c>
      <c r="N5" s="2" t="s">
        <v>2</v>
      </c>
    </row>
    <row r="6">
      <c r="A6" s="2" t="s">
        <v>14</v>
      </c>
      <c r="B6" s="2" t="s">
        <v>43</v>
      </c>
      <c r="C6" s="2" t="s">
        <v>44</v>
      </c>
      <c r="D6" s="3">
        <f t="shared" si="1"/>
        <v>0</v>
      </c>
      <c r="E6" s="2" t="s">
        <v>45</v>
      </c>
      <c r="F6" s="3">
        <f t="shared" si="2"/>
        <v>1</v>
      </c>
      <c r="G6" s="2" t="s">
        <v>46</v>
      </c>
      <c r="H6" s="3">
        <f t="shared" si="3"/>
        <v>0</v>
      </c>
      <c r="I6" s="2" t="s">
        <v>47</v>
      </c>
      <c r="J6" s="3">
        <f t="shared" si="4"/>
        <v>0</v>
      </c>
      <c r="K6" s="2" t="s">
        <v>48</v>
      </c>
      <c r="L6" s="3">
        <f t="shared" si="5"/>
        <v>0</v>
      </c>
      <c r="M6" s="2" t="s">
        <v>49</v>
      </c>
      <c r="N6" s="2" t="s">
        <v>4</v>
      </c>
    </row>
    <row r="7">
      <c r="A7" s="2" t="s">
        <v>14</v>
      </c>
      <c r="B7" s="2" t="s">
        <v>50</v>
      </c>
      <c r="C7" s="2" t="s">
        <v>51</v>
      </c>
      <c r="D7" s="3">
        <f t="shared" si="1"/>
        <v>1</v>
      </c>
      <c r="E7" s="2" t="s">
        <v>52</v>
      </c>
      <c r="F7" s="3">
        <f t="shared" si="2"/>
        <v>0</v>
      </c>
      <c r="G7" s="2" t="s">
        <v>53</v>
      </c>
      <c r="H7" s="3">
        <f t="shared" si="3"/>
        <v>0</v>
      </c>
      <c r="I7" s="2" t="s">
        <v>54</v>
      </c>
      <c r="J7" s="3">
        <f t="shared" si="4"/>
        <v>0</v>
      </c>
      <c r="K7" s="2" t="s">
        <v>55</v>
      </c>
      <c r="L7" s="3">
        <f t="shared" si="5"/>
        <v>0</v>
      </c>
      <c r="M7" s="2" t="s">
        <v>56</v>
      </c>
      <c r="N7" s="2" t="s">
        <v>2</v>
      </c>
    </row>
    <row r="8">
      <c r="A8" s="2" t="s">
        <v>57</v>
      </c>
      <c r="B8" s="2" t="s">
        <v>58</v>
      </c>
      <c r="C8" s="2" t="s">
        <v>59</v>
      </c>
      <c r="D8" s="3">
        <f t="shared" si="1"/>
        <v>1</v>
      </c>
      <c r="E8" s="2" t="s">
        <v>60</v>
      </c>
      <c r="F8" s="3">
        <f t="shared" si="2"/>
        <v>0</v>
      </c>
      <c r="G8" s="2" t="s">
        <v>61</v>
      </c>
      <c r="H8" s="3">
        <f t="shared" si="3"/>
        <v>0</v>
      </c>
      <c r="I8" s="2" t="s">
        <v>62</v>
      </c>
      <c r="J8" s="3">
        <f t="shared" si="4"/>
        <v>0</v>
      </c>
      <c r="K8" s="2" t="s">
        <v>63</v>
      </c>
      <c r="L8" s="3">
        <f t="shared" si="5"/>
        <v>0</v>
      </c>
      <c r="M8" s="2" t="s">
        <v>64</v>
      </c>
      <c r="N8" s="2" t="s">
        <v>2</v>
      </c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 t="s">
        <v>57</v>
      </c>
      <c r="B9" s="2" t="s">
        <v>65</v>
      </c>
      <c r="C9" s="2" t="s">
        <v>66</v>
      </c>
      <c r="D9" s="3">
        <f t="shared" si="1"/>
        <v>1</v>
      </c>
      <c r="E9" s="2" t="s">
        <v>67</v>
      </c>
      <c r="F9" s="3">
        <f t="shared" si="2"/>
        <v>0</v>
      </c>
      <c r="G9" s="2" t="s">
        <v>68</v>
      </c>
      <c r="H9" s="3">
        <f t="shared" si="3"/>
        <v>0</v>
      </c>
      <c r="I9" s="2" t="s">
        <v>69</v>
      </c>
      <c r="J9" s="3">
        <f t="shared" si="4"/>
        <v>0</v>
      </c>
      <c r="K9" s="2" t="s">
        <v>70</v>
      </c>
      <c r="L9" s="3">
        <f t="shared" si="5"/>
        <v>0</v>
      </c>
      <c r="M9" s="2" t="s">
        <v>71</v>
      </c>
      <c r="N9" s="2" t="s">
        <v>2</v>
      </c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 t="s">
        <v>57</v>
      </c>
      <c r="B10" s="2" t="s">
        <v>72</v>
      </c>
      <c r="C10" s="2" t="s">
        <v>73</v>
      </c>
      <c r="D10" s="3">
        <f t="shared" si="1"/>
        <v>1</v>
      </c>
      <c r="E10" s="2" t="s">
        <v>74</v>
      </c>
      <c r="F10" s="3">
        <f t="shared" si="2"/>
        <v>0</v>
      </c>
      <c r="G10" s="2" t="s">
        <v>75</v>
      </c>
      <c r="H10" s="3">
        <f t="shared" si="3"/>
        <v>0</v>
      </c>
      <c r="I10" s="2" t="s">
        <v>76</v>
      </c>
      <c r="J10" s="3">
        <f t="shared" si="4"/>
        <v>0</v>
      </c>
      <c r="K10" s="2" t="s">
        <v>77</v>
      </c>
      <c r="L10" s="3">
        <f t="shared" si="5"/>
        <v>0</v>
      </c>
      <c r="M10" s="2" t="s">
        <v>78</v>
      </c>
      <c r="N10" s="2" t="s">
        <v>2</v>
      </c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 t="s">
        <v>57</v>
      </c>
      <c r="B11" s="2" t="s">
        <v>79</v>
      </c>
      <c r="C11" s="2" t="s">
        <v>67</v>
      </c>
      <c r="D11" s="3">
        <f t="shared" si="1"/>
        <v>1</v>
      </c>
      <c r="E11" s="2" t="s">
        <v>80</v>
      </c>
      <c r="F11" s="3">
        <f t="shared" si="2"/>
        <v>0</v>
      </c>
      <c r="G11" s="2" t="s">
        <v>69</v>
      </c>
      <c r="H11" s="3">
        <f t="shared" si="3"/>
        <v>0</v>
      </c>
      <c r="I11" s="2" t="s">
        <v>81</v>
      </c>
      <c r="J11" s="3">
        <f t="shared" si="4"/>
        <v>0</v>
      </c>
      <c r="K11" s="2" t="s">
        <v>82</v>
      </c>
      <c r="L11" s="3">
        <f t="shared" si="5"/>
        <v>0</v>
      </c>
      <c r="M11" s="2" t="s">
        <v>83</v>
      </c>
      <c r="N11" s="2" t="s">
        <v>2</v>
      </c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 t="s">
        <v>57</v>
      </c>
      <c r="B12" s="2" t="s">
        <v>84</v>
      </c>
      <c r="C12" s="2" t="s">
        <v>85</v>
      </c>
      <c r="D12" s="3">
        <f t="shared" si="1"/>
        <v>0</v>
      </c>
      <c r="E12" s="2" t="s">
        <v>86</v>
      </c>
      <c r="F12" s="3">
        <f t="shared" si="2"/>
        <v>0</v>
      </c>
      <c r="G12" s="2" t="s">
        <v>87</v>
      </c>
      <c r="H12" s="3">
        <f t="shared" si="3"/>
        <v>1</v>
      </c>
      <c r="I12" s="2" t="s">
        <v>88</v>
      </c>
      <c r="J12" s="3">
        <f t="shared" si="4"/>
        <v>0</v>
      </c>
      <c r="K12" s="2" t="s">
        <v>89</v>
      </c>
      <c r="L12" s="3">
        <f t="shared" si="5"/>
        <v>0</v>
      </c>
      <c r="M12" s="2" t="s">
        <v>90</v>
      </c>
      <c r="N12" s="2" t="s">
        <v>6</v>
      </c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 t="s">
        <v>57</v>
      </c>
      <c r="B13" s="2" t="s">
        <v>91</v>
      </c>
      <c r="C13" s="2" t="s">
        <v>92</v>
      </c>
      <c r="D13" s="3">
        <f t="shared" si="1"/>
        <v>0</v>
      </c>
      <c r="E13" s="2" t="s">
        <v>93</v>
      </c>
      <c r="F13" s="3">
        <f t="shared" si="2"/>
        <v>0</v>
      </c>
      <c r="G13" s="2" t="s">
        <v>94</v>
      </c>
      <c r="H13" s="3">
        <f t="shared" si="3"/>
        <v>0</v>
      </c>
      <c r="I13" s="2" t="s">
        <v>95</v>
      </c>
      <c r="J13" s="3">
        <f t="shared" si="4"/>
        <v>0</v>
      </c>
      <c r="K13" s="2" t="s">
        <v>96</v>
      </c>
      <c r="L13" s="3">
        <f t="shared" si="5"/>
        <v>1</v>
      </c>
      <c r="M13" s="2" t="s">
        <v>97</v>
      </c>
      <c r="N13" s="2" t="s">
        <v>10</v>
      </c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 t="s">
        <v>98</v>
      </c>
      <c r="B14" s="2" t="s">
        <v>99</v>
      </c>
      <c r="C14" s="2" t="s">
        <v>100</v>
      </c>
      <c r="D14" s="3">
        <v>0.0</v>
      </c>
      <c r="E14" s="2" t="s">
        <v>101</v>
      </c>
      <c r="F14" s="3">
        <v>1.0</v>
      </c>
      <c r="G14" s="2" t="s">
        <v>102</v>
      </c>
      <c r="H14" s="3">
        <v>0.0</v>
      </c>
      <c r="I14" s="2" t="s">
        <v>103</v>
      </c>
      <c r="J14" s="3">
        <v>0.0</v>
      </c>
      <c r="K14" s="2" t="s">
        <v>104</v>
      </c>
      <c r="L14" s="3">
        <v>0.0</v>
      </c>
      <c r="M14" s="2" t="s">
        <v>105</v>
      </c>
      <c r="N14" s="2" t="s">
        <v>4</v>
      </c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 t="s">
        <v>98</v>
      </c>
      <c r="B15" s="2" t="s">
        <v>106</v>
      </c>
      <c r="C15" s="2" t="s">
        <v>107</v>
      </c>
      <c r="D15" s="3">
        <v>0.0</v>
      </c>
      <c r="E15" s="2" t="s">
        <v>108</v>
      </c>
      <c r="F15" s="3">
        <v>1.0</v>
      </c>
      <c r="G15" s="2" t="s">
        <v>109</v>
      </c>
      <c r="H15" s="3">
        <v>0.0</v>
      </c>
      <c r="I15" s="2" t="s">
        <v>110</v>
      </c>
      <c r="J15" s="3">
        <v>0.0</v>
      </c>
      <c r="K15" s="2" t="s">
        <v>111</v>
      </c>
      <c r="L15" s="3">
        <v>0.0</v>
      </c>
      <c r="M15" s="2" t="s">
        <v>112</v>
      </c>
      <c r="N15" s="2" t="s">
        <v>4</v>
      </c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 t="s">
        <v>98</v>
      </c>
      <c r="B16" s="2" t="s">
        <v>113</v>
      </c>
      <c r="C16" s="2" t="s">
        <v>114</v>
      </c>
      <c r="D16" s="3">
        <v>0.0</v>
      </c>
      <c r="E16" s="2" t="s">
        <v>115</v>
      </c>
      <c r="F16" s="3">
        <v>1.0</v>
      </c>
      <c r="G16" s="2" t="s">
        <v>116</v>
      </c>
      <c r="H16" s="3">
        <v>0.0</v>
      </c>
      <c r="I16" s="2" t="s">
        <v>117</v>
      </c>
      <c r="J16" s="3">
        <v>0.0</v>
      </c>
      <c r="K16" s="2" t="s">
        <v>118</v>
      </c>
      <c r="L16" s="3">
        <v>0.0</v>
      </c>
      <c r="M16" s="2" t="s">
        <v>119</v>
      </c>
      <c r="N16" s="2" t="s">
        <v>4</v>
      </c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 t="s">
        <v>98</v>
      </c>
      <c r="B17" s="2" t="s">
        <v>120</v>
      </c>
      <c r="C17" s="2" t="s">
        <v>121</v>
      </c>
      <c r="D17" s="3">
        <v>0.0</v>
      </c>
      <c r="E17" s="2" t="s">
        <v>122</v>
      </c>
      <c r="F17" s="3">
        <v>1.0</v>
      </c>
      <c r="G17" s="2" t="s">
        <v>123</v>
      </c>
      <c r="H17" s="3">
        <v>0.0</v>
      </c>
      <c r="I17" s="2" t="s">
        <v>124</v>
      </c>
      <c r="J17" s="3">
        <v>0.0</v>
      </c>
      <c r="K17" s="2" t="s">
        <v>125</v>
      </c>
      <c r="L17" s="3">
        <v>0.0</v>
      </c>
      <c r="M17" s="2" t="s">
        <v>126</v>
      </c>
      <c r="N17" s="2" t="s">
        <v>4</v>
      </c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 t="s">
        <v>98</v>
      </c>
      <c r="B18" s="2" t="s">
        <v>127</v>
      </c>
      <c r="C18" s="2" t="s">
        <v>128</v>
      </c>
      <c r="D18" s="3">
        <v>0.0</v>
      </c>
      <c r="E18" s="2" t="s">
        <v>129</v>
      </c>
      <c r="F18" s="3">
        <v>1.0</v>
      </c>
      <c r="G18" s="2" t="s">
        <v>130</v>
      </c>
      <c r="H18" s="3">
        <v>0.0</v>
      </c>
      <c r="I18" s="2" t="s">
        <v>131</v>
      </c>
      <c r="J18" s="3">
        <v>0.0</v>
      </c>
      <c r="K18" s="2" t="s">
        <v>132</v>
      </c>
      <c r="L18" s="3">
        <v>0.0</v>
      </c>
      <c r="M18" s="2" t="s">
        <v>133</v>
      </c>
      <c r="N18" s="2" t="s">
        <v>4</v>
      </c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 t="s">
        <v>98</v>
      </c>
      <c r="B19" s="2" t="s">
        <v>134</v>
      </c>
      <c r="C19" s="2" t="s">
        <v>135</v>
      </c>
      <c r="D19" s="3">
        <v>0.0</v>
      </c>
      <c r="E19" s="2" t="s">
        <v>136</v>
      </c>
      <c r="F19" s="3">
        <v>1.0</v>
      </c>
      <c r="G19" s="2" t="s">
        <v>137</v>
      </c>
      <c r="H19" s="3">
        <v>0.0</v>
      </c>
      <c r="I19" s="2" t="s">
        <v>138</v>
      </c>
      <c r="J19" s="3">
        <v>0.0</v>
      </c>
      <c r="K19" s="2" t="s">
        <v>139</v>
      </c>
      <c r="L19" s="3">
        <v>0.0</v>
      </c>
      <c r="M19" s="2" t="s">
        <v>140</v>
      </c>
      <c r="N19" s="2" t="s">
        <v>4</v>
      </c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 t="s">
        <v>141</v>
      </c>
      <c r="B20" s="2" t="s">
        <v>142</v>
      </c>
      <c r="C20" s="2" t="s">
        <v>143</v>
      </c>
      <c r="D20" s="3">
        <v>1.0</v>
      </c>
      <c r="E20" s="2" t="s">
        <v>144</v>
      </c>
      <c r="F20" s="3">
        <v>0.0</v>
      </c>
      <c r="G20" s="2" t="s">
        <v>145</v>
      </c>
      <c r="H20" s="3">
        <v>0.0</v>
      </c>
      <c r="I20" s="2" t="s">
        <v>146</v>
      </c>
      <c r="J20" s="3">
        <v>0.0</v>
      </c>
      <c r="K20" s="2" t="s">
        <v>147</v>
      </c>
      <c r="L20" s="3">
        <v>0.0</v>
      </c>
      <c r="M20" s="2" t="s">
        <v>148</v>
      </c>
      <c r="N20" s="2" t="s">
        <v>2</v>
      </c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 t="s">
        <v>141</v>
      </c>
      <c r="B21" s="2" t="s">
        <v>149</v>
      </c>
      <c r="C21" s="2" t="s">
        <v>150</v>
      </c>
      <c r="D21" s="3">
        <v>0.0</v>
      </c>
      <c r="E21" s="2" t="s">
        <v>151</v>
      </c>
      <c r="F21" s="3">
        <v>1.0</v>
      </c>
      <c r="G21" s="2" t="s">
        <v>152</v>
      </c>
      <c r="H21" s="3">
        <v>0.0</v>
      </c>
      <c r="I21" s="2" t="s">
        <v>153</v>
      </c>
      <c r="J21" s="3">
        <v>0.0</v>
      </c>
      <c r="K21" s="2" t="s">
        <v>154</v>
      </c>
      <c r="L21" s="3">
        <v>0.0</v>
      </c>
      <c r="M21" s="2" t="s">
        <v>155</v>
      </c>
      <c r="N21" s="2" t="s">
        <v>4</v>
      </c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 t="s">
        <v>141</v>
      </c>
      <c r="B22" s="2" t="s">
        <v>156</v>
      </c>
      <c r="C22" s="2" t="s">
        <v>157</v>
      </c>
      <c r="D22" s="3">
        <v>0.0</v>
      </c>
      <c r="E22" s="2" t="s">
        <v>158</v>
      </c>
      <c r="F22" s="3">
        <v>0.0</v>
      </c>
      <c r="G22" s="2" t="s">
        <v>159</v>
      </c>
      <c r="H22" s="3">
        <v>0.0</v>
      </c>
      <c r="I22" s="2" t="s">
        <v>160</v>
      </c>
      <c r="J22" s="3">
        <v>1.0</v>
      </c>
      <c r="K22" s="2" t="s">
        <v>161</v>
      </c>
      <c r="L22" s="3">
        <v>0.0</v>
      </c>
      <c r="M22" s="2" t="s">
        <v>162</v>
      </c>
      <c r="N22" s="2" t="s">
        <v>8</v>
      </c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 t="s">
        <v>141</v>
      </c>
      <c r="B23" s="2" t="s">
        <v>163</v>
      </c>
      <c r="C23" s="2" t="s">
        <v>164</v>
      </c>
      <c r="D23" s="3">
        <v>1.0</v>
      </c>
      <c r="E23" s="2" t="s">
        <v>165</v>
      </c>
      <c r="F23" s="3">
        <v>0.0</v>
      </c>
      <c r="G23" s="2" t="s">
        <v>166</v>
      </c>
      <c r="H23" s="3">
        <v>0.0</v>
      </c>
      <c r="I23" s="2" t="s">
        <v>167</v>
      </c>
      <c r="J23" s="3">
        <v>0.0</v>
      </c>
      <c r="K23" s="2" t="s">
        <v>168</v>
      </c>
      <c r="L23" s="3">
        <v>0.0</v>
      </c>
      <c r="M23" s="2" t="s">
        <v>169</v>
      </c>
      <c r="N23" s="2" t="s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 t="s">
        <v>141</v>
      </c>
      <c r="B24" s="2" t="s">
        <v>170</v>
      </c>
      <c r="C24" s="2" t="s">
        <v>171</v>
      </c>
      <c r="D24" s="3">
        <v>1.0</v>
      </c>
      <c r="E24" s="2" t="s">
        <v>172</v>
      </c>
      <c r="F24" s="3">
        <v>0.0</v>
      </c>
      <c r="G24" s="2" t="s">
        <v>173</v>
      </c>
      <c r="H24" s="3">
        <v>0.0</v>
      </c>
      <c r="I24" s="2" t="s">
        <v>174</v>
      </c>
      <c r="J24" s="3">
        <v>0.0</v>
      </c>
      <c r="K24" s="2" t="s">
        <v>175</v>
      </c>
      <c r="L24" s="3">
        <v>0.0</v>
      </c>
      <c r="M24" s="2" t="s">
        <v>176</v>
      </c>
      <c r="N24" s="2" t="s">
        <v>2</v>
      </c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 t="s">
        <v>141</v>
      </c>
      <c r="B25" s="2" t="s">
        <v>177</v>
      </c>
      <c r="C25" s="2" t="s">
        <v>178</v>
      </c>
      <c r="D25" s="3">
        <v>0.0</v>
      </c>
      <c r="E25" s="2" t="s">
        <v>179</v>
      </c>
      <c r="F25" s="3">
        <v>1.0</v>
      </c>
      <c r="G25" s="2" t="s">
        <v>180</v>
      </c>
      <c r="H25" s="3">
        <v>0.0</v>
      </c>
      <c r="I25" s="2" t="s">
        <v>181</v>
      </c>
      <c r="J25" s="3">
        <v>0.0</v>
      </c>
      <c r="K25" s="2" t="s">
        <v>182</v>
      </c>
      <c r="L25" s="3">
        <v>0.0</v>
      </c>
      <c r="M25" s="2" t="s">
        <v>183</v>
      </c>
      <c r="N25" s="2" t="s">
        <v>4</v>
      </c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 t="s">
        <v>184</v>
      </c>
      <c r="B26" s="2" t="s">
        <v>185</v>
      </c>
      <c r="C26" s="2" t="s">
        <v>186</v>
      </c>
      <c r="D26" s="3">
        <v>1.0</v>
      </c>
      <c r="E26" s="2" t="s">
        <v>187</v>
      </c>
      <c r="F26" s="3">
        <v>0.0</v>
      </c>
      <c r="G26" s="2" t="s">
        <v>188</v>
      </c>
      <c r="H26" s="3">
        <v>0.0</v>
      </c>
      <c r="I26" s="2" t="s">
        <v>189</v>
      </c>
      <c r="J26" s="3">
        <v>0.0</v>
      </c>
      <c r="K26" s="2" t="s">
        <v>190</v>
      </c>
      <c r="L26" s="3">
        <v>0.0</v>
      </c>
      <c r="M26" s="2" t="s">
        <v>191</v>
      </c>
      <c r="N26" s="2" t="s">
        <v>2</v>
      </c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 t="s">
        <v>184</v>
      </c>
      <c r="B27" s="2" t="s">
        <v>192</v>
      </c>
      <c r="C27" s="2" t="s">
        <v>193</v>
      </c>
      <c r="D27" s="3">
        <v>1.0</v>
      </c>
      <c r="E27" s="2" t="s">
        <v>194</v>
      </c>
      <c r="F27" s="3">
        <v>0.0</v>
      </c>
      <c r="G27" s="2" t="s">
        <v>195</v>
      </c>
      <c r="H27" s="3">
        <v>0.0</v>
      </c>
      <c r="I27" s="2" t="s">
        <v>196</v>
      </c>
      <c r="J27" s="3">
        <v>0.0</v>
      </c>
      <c r="K27" s="2" t="s">
        <v>197</v>
      </c>
      <c r="L27" s="3">
        <v>0.0</v>
      </c>
      <c r="M27" s="2" t="s">
        <v>198</v>
      </c>
      <c r="N27" s="2" t="s">
        <v>2</v>
      </c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 t="s">
        <v>184</v>
      </c>
      <c r="B28" s="2" t="s">
        <v>199</v>
      </c>
      <c r="C28" s="2" t="s">
        <v>200</v>
      </c>
      <c r="D28" s="3">
        <v>0.0</v>
      </c>
      <c r="E28" s="2" t="s">
        <v>201</v>
      </c>
      <c r="F28" s="3">
        <v>1.0</v>
      </c>
      <c r="G28" s="2" t="s">
        <v>202</v>
      </c>
      <c r="H28" s="3">
        <v>0.0</v>
      </c>
      <c r="I28" s="2" t="s">
        <v>203</v>
      </c>
      <c r="J28" s="3">
        <v>0.0</v>
      </c>
      <c r="K28" s="2" t="s">
        <v>204</v>
      </c>
      <c r="L28" s="3">
        <v>0.0</v>
      </c>
      <c r="M28" s="2" t="s">
        <v>205</v>
      </c>
      <c r="N28" s="2" t="s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 t="s">
        <v>184</v>
      </c>
      <c r="B29" s="2" t="s">
        <v>206</v>
      </c>
      <c r="C29" s="5">
        <v>24015.0</v>
      </c>
      <c r="D29" s="3">
        <v>1.0</v>
      </c>
      <c r="E29" s="5">
        <v>24016.0</v>
      </c>
      <c r="F29" s="3">
        <v>0.0</v>
      </c>
      <c r="G29" s="5">
        <v>23971.0</v>
      </c>
      <c r="H29" s="3">
        <v>0.0</v>
      </c>
      <c r="I29" s="5">
        <v>23650.0</v>
      </c>
      <c r="J29" s="3">
        <v>0.0</v>
      </c>
      <c r="K29" s="5">
        <v>24381.0</v>
      </c>
      <c r="L29" s="3">
        <v>0.0</v>
      </c>
      <c r="M29" s="2" t="s">
        <v>207</v>
      </c>
      <c r="N29" s="2" t="s">
        <v>2</v>
      </c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 t="s">
        <v>184</v>
      </c>
      <c r="B30" s="2" t="s">
        <v>208</v>
      </c>
      <c r="C30" s="2" t="s">
        <v>209</v>
      </c>
      <c r="D30" s="3">
        <v>1.0</v>
      </c>
      <c r="E30" s="2" t="s">
        <v>210</v>
      </c>
      <c r="F30" s="3">
        <v>0.0</v>
      </c>
      <c r="G30" s="2" t="s">
        <v>211</v>
      </c>
      <c r="H30" s="3">
        <v>0.0</v>
      </c>
      <c r="I30" s="2" t="s">
        <v>212</v>
      </c>
      <c r="J30" s="3">
        <v>0.0</v>
      </c>
      <c r="K30" s="2" t="s">
        <v>213</v>
      </c>
      <c r="L30" s="3">
        <v>0.0</v>
      </c>
      <c r="M30" s="2" t="s">
        <v>214</v>
      </c>
      <c r="N30" s="2" t="s">
        <v>2</v>
      </c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 t="s">
        <v>184</v>
      </c>
      <c r="B31" s="2" t="s">
        <v>215</v>
      </c>
      <c r="C31" s="2" t="s">
        <v>216</v>
      </c>
      <c r="D31" s="3">
        <v>1.0</v>
      </c>
      <c r="E31" s="4" t="s">
        <v>217</v>
      </c>
      <c r="F31" s="3">
        <v>0.0</v>
      </c>
      <c r="G31" s="4" t="s">
        <v>218</v>
      </c>
      <c r="H31" s="3">
        <v>0.0</v>
      </c>
      <c r="I31" s="4" t="s">
        <v>219</v>
      </c>
      <c r="J31" s="3">
        <v>0.0</v>
      </c>
      <c r="K31" s="4" t="s">
        <v>220</v>
      </c>
      <c r="L31" s="3">
        <v>0.0</v>
      </c>
      <c r="M31" s="2" t="s">
        <v>221</v>
      </c>
      <c r="N31" s="2" t="s">
        <v>2</v>
      </c>
      <c r="O31" s="2"/>
      <c r="P31" s="2"/>
      <c r="Q31" s="2"/>
      <c r="R31" s="2"/>
      <c r="S31" s="2"/>
      <c r="T31" s="2"/>
      <c r="U31" s="2"/>
      <c r="V31" s="2"/>
      <c r="W31" s="2"/>
      <c r="X31" s="2"/>
    </row>
  </sheetData>
  <drawing r:id="rId1"/>
</worksheet>
</file>