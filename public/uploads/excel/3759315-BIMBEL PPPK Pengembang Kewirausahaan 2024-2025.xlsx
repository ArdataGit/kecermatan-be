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<sst xmlns="http://schemas.openxmlformats.org/spreadsheetml/2006/main" count="813" uniqueCount="521">
  <si>
    <t>Soal</t>
  </si>
  <si>
    <t>Pilihan A</t>
  </si>
  <si>
    <t>Point Pilihan A</t>
  </si>
  <si>
    <t>Pilihan B</t>
  </si>
  <si>
    <t>Point Pilihan B</t>
  </si>
  <si>
    <t>Pilihan C</t>
  </si>
  <si>
    <t>Point Pilihan C</t>
  </si>
  <si>
    <t>Pilihan D</t>
  </si>
  <si>
    <t>Point Pilihan D</t>
  </si>
  <si>
    <t>Pilihan E</t>
  </si>
  <si>
    <t>Point Pilihan E</t>
  </si>
  <si>
    <t>Jawaban (A,B,C,D,E)</t>
  </si>
  <si>
    <t>Pembahasan</t>
  </si>
  <si>
    <t>Apa yang pertama kali harus diidentifikasi dalam menganalisis kebutuhan bahan pemetaan potensi kewirausahaan?</t>
  </si>
  <si>
    <t>Modal usaha</t>
  </si>
  <si>
    <t>Sumber daya alam</t>
  </si>
  <si>
    <t>Sumber daya manusia</t>
  </si>
  <si>
    <t>Data kompetitor</t>
  </si>
  <si>
    <t>Data pasar</t>
  </si>
  <si>
    <t>C</t>
  </si>
  <si>
    <t>Sumber daya manusia adalah salah satu faktor utama yang perlu diidentifikasi karena potensi kewirausahaan sangat bergantung pada keterampilan dan jumlah tenaga kerja yang tersedia di wilayah tersebut.</t>
  </si>
  <si>
    <t>Mengapa penting untuk mengidentifikasi sumber daya alam dalam pemetaan potensi kewirausahaan?</t>
  </si>
  <si>
    <t>Untuk menentukan harga jual produk</t>
  </si>
  <si>
    <t>Untuk mengetahui bahan baku yang tersedia</t>
  </si>
  <si>
    <t>Untuk memahami budaya lokal</t>
  </si>
  <si>
    <t>Untuk mengukur tingkat pendidikan penduduk</t>
  </si>
  <si>
    <t>Untuk mengetahui kebutuhan pasar</t>
  </si>
  <si>
    <t>B</t>
  </si>
  <si>
    <t>Sumber daya alam penting diidentifikasi untuk mengetahui ketersediaan bahan baku yang dapat mendukung kegiatan kewirausahaan di wilayah tersebut.</t>
  </si>
  <si>
    <t>Data demografis apa yang perlu dikumpulkan dalam menyusun data potensi kewirausahaan?</t>
  </si>
  <si>
    <t>Usia penduduk</t>
  </si>
  <si>
    <t>Tingkat pendidikan</t>
  </si>
  <si>
    <t>Hobi penduduk</t>
  </si>
  <si>
    <t>Kondisi cuaca</t>
  </si>
  <si>
    <t>Ketersediaan transportasi</t>
  </si>
  <si>
    <t>A</t>
  </si>
  <si>
    <t>Usia penduduk adalah data demografis penting yang membantu dalam menentukan kelompok usia yang paling potensial untuk kewirausahaan.</t>
  </si>
  <si>
    <t>Apa yang termasuk dalam data sosiografis untuk pemetaan potensi kewirausahaan?</t>
  </si>
  <si>
    <t>Tingkat pendapatan</t>
  </si>
  <si>
    <t>Struktur keluarga</t>
  </si>
  <si>
    <t>Jumlah sekolah</t>
  </si>
  <si>
    <t>Luas lahan</t>
  </si>
  <si>
    <t>Ketinggian wilayah</t>
  </si>
  <si>
    <t>Struktur keluarga adalah bagian dari data sosiografis yang memberikan gambaran tentang hubungan sosial dan dinamika keluarga dalam masyarakat.</t>
  </si>
  <si>
    <t>Bagaimana cara memetakan data demografis, sosiografis, dan geografis secara efektif?</t>
  </si>
  <si>
    <t>Menggunakan software GIS</t>
  </si>
  <si>
    <t>Menggunakan peta kertas</t>
  </si>
  <si>
    <t>Melalui survei langsung</t>
  </si>
  <si>
    <t>Dengan wawancara</t>
  </si>
  <si>
    <t>Melalui telepon</t>
  </si>
  <si>
    <t>Software GIS (Geographic Information System) sangat efektif untuk memetakan data karena mampu mengolah dan menampilkan data secara visual dan interaktif.</t>
  </si>
  <si>
    <t>Mengapa penting untuk memutakhirkan data demografis secara berkala?</t>
  </si>
  <si>
    <t>Untuk mengikuti tren</t>
  </si>
  <si>
    <t>Untuk mengetahui perubahan populasi</t>
  </si>
  <si>
    <t>Untuk mengurangi biaya</t>
  </si>
  <si>
    <t>Untuk menarik investasi</t>
  </si>
  <si>
    <t>Untuk meningkatkan produksi</t>
  </si>
  <si>
    <t>Memutakhirkan data demografis secara berkala penting untuk mengetahui perubahan populasi dan dinamika masyarakat sehingga perencanaan kewirausahaan tetap relevan.</t>
  </si>
  <si>
    <t>Sumber data apa yang dapat digunakan untuk mengumpulkan informasi demografis?</t>
  </si>
  <si>
    <t>Sensus penduduk</t>
  </si>
  <si>
    <t>Media sosial</t>
  </si>
  <si>
    <t>Pengamatan lapangan</t>
  </si>
  <si>
    <t>Data satelit</t>
  </si>
  <si>
    <t>Buku teks</t>
  </si>
  <si>
    <t>Sensus penduduk menyediakan data demografis yang lengkap dan akurat tentang populasi di suatu wilayah.</t>
  </si>
  <si>
    <t>Apa yang harus diperhatikan dalam penyusunan data sosiografis?</t>
  </si>
  <si>
    <t>Tradisi dan kebiasaan lokal</t>
  </si>
  <si>
    <t>Kondisi geografis</t>
  </si>
  <si>
    <t>Struktur ekonomi</t>
  </si>
  <si>
    <t>Jumlah penduduk</t>
  </si>
  <si>
    <t>Tradisi dan kebiasaan lokal adalah aspek penting dalam data sosiografis karena berpengaruh pada perilaku dan pola hidup masyarakat yang dapat mempengaruhi potensi kewirausahaan.</t>
  </si>
  <si>
    <t>Bagaimana cara memverifikasi keakuratan data geografis?</t>
  </si>
  <si>
    <t>Melakukan cross-check dengan sumber lain</t>
  </si>
  <si>
    <t>Mengandalkan satu sumber data</t>
  </si>
  <si>
    <t>Menggunakan asumsi</t>
  </si>
  <si>
    <t>Menggunakan perkiraan</t>
  </si>
  <si>
    <t>Menunggu data baru</t>
  </si>
  <si>
    <t>Memverifikasi keakuratan data geografis dengan cross-check menggunakan beberapa sumber memastikan data yang digunakan benar-benar akurat dan dapat diandalkan.</t>
  </si>
  <si>
    <t>Apa manfaat dari memetakan data potensi kewirausahaan?</t>
  </si>
  <si>
    <t>Untuk mengidentifikasi peluang usaha</t>
  </si>
  <si>
    <t>Untuk meningkatkan birokrasi</t>
  </si>
  <si>
    <t>Untuk menambah biaya operasional</t>
  </si>
  <si>
    <t>Untuk mengurangi persaingan</t>
  </si>
  <si>
    <t>Untuk meningkatkan harga produk</t>
  </si>
  <si>
    <t>Memetakan data potensi kewirausahaan membantu dalam mengidentifikasi peluang usaha yang dapat dikembangkan di suatu wilayah berdasarkan kondisi dan sumber daya yang ada.</t>
  </si>
  <si>
    <t>Apa yang dimaksud dengan pemetaan data kewirausahaan?</t>
  </si>
  <si>
    <t>Pembaruan data bisnis</t>
  </si>
  <si>
    <t>Visualisasi data usaha</t>
  </si>
  <si>
    <t>Pemilahan data finansial</t>
  </si>
  <si>
    <t>Analisis data pasar</t>
  </si>
  <si>
    <t>Manajemen data logistik</t>
  </si>
  <si>
    <t>Pemetaan data kewirausahaan adalah proses visualisasi dan analisis data yang berkaitan dengan kegiatan dan potensi bisnis di suatu wilayah untuk membantu pengambilan keputusan.</t>
  </si>
  <si>
    <t>Mengapa penting untuk mengumpulkan data demografis dalam pemetaan kewirausahaan?</t>
  </si>
  <si>
    <t>Untuk mengetahui usia pendiri usaha</t>
  </si>
  <si>
    <t>Untuk menentukan lokasi usaha</t>
  </si>
  <si>
    <t>Untuk mengidentifikasi pasar potensial</t>
  </si>
  <si>
    <t>Untuk mengetahui produk pesaing</t>
  </si>
  <si>
    <t>Untuk menilai kualitas layanan</t>
  </si>
  <si>
    <t>Data demografis membantu dalam mengetahui karakteristik penduduk seperti usia, pendidikan, dan pekerjaan yang relevan untuk mengidentifikasi pasar potensial bagi usaha.</t>
  </si>
  <si>
    <t>Apa manfaat dari memvisualisasikan data kewirausahaan secara geografis?</t>
  </si>
  <si>
    <t>Mengurangi biaya operasional</t>
  </si>
  <si>
    <t>Memahami pola distribusi produk</t>
  </si>
  <si>
    <t>Meningkatkan harga jual produk</t>
  </si>
  <si>
    <t>Menambah jumlah tenaga kerja</t>
  </si>
  <si>
    <t>Mengurangi waktu proses</t>
  </si>
  <si>
    <t>Visualisasi data kewirausahaan secara geografis membantu dalam memahami pola distribusi produk dan lokasi strategis untuk penempatan usaha.</t>
  </si>
  <si>
    <t>Bagaimana cara mengklasifikasikan data sosial ekonomi dalam pemetaan kewirausahaan?</t>
  </si>
  <si>
    <t>Berdasarkan indeks finansial</t>
  </si>
  <si>
    <t>Berdasarkan populasi kota</t>
  </si>
  <si>
    <t>Berdasarkan kebutuhan pasar</t>
  </si>
  <si>
    <t>Berdasarkan struktur organisasi</t>
  </si>
  <si>
    <t>Berdasarkan tingkat pendidikan</t>
  </si>
  <si>
    <t>D</t>
  </si>
  <si>
    <t>Klasifikasi data sosial ekonomi seperti pendapatan, pekerjaan, dan pendidikan membantu dalam memahami kondisi sosial ekonomi yang mempengaruhi potensi kewirausahaan di suatu wilayah.</t>
  </si>
  <si>
    <t>Mengapa penting untuk memperbarui data kewirausahaan secara berkala?</t>
  </si>
  <si>
    <t>Untuk mengurangi biaya produksi</t>
  </si>
  <si>
    <t>Untuk memenuhi syarat perpajakan</t>
  </si>
  <si>
    <t>Untuk mengikuti perkembangan pasar</t>
  </si>
  <si>
    <t>Untuk menaikkan harga jual produk</t>
  </si>
  <si>
    <t>Untuk menambah jumlah cabang</t>
  </si>
  <si>
    <t>Memperbarui data kewirausahaan secara berkala penting untuk memastikan informasi yang digunakan tetap relevan dan akurat sesuai dengan perubahan dan perkembangan pasar.</t>
  </si>
  <si>
    <t>Apa yang dimaksud dengan analisis SWOT dalam konteks pemetaan kewirausahaan?</t>
  </si>
  <si>
    <t>Analisis finansial usaha</t>
  </si>
  <si>
    <t>Analisis kekuatan, kelemahan, peluang, dan ancaman</t>
  </si>
  <si>
    <t>Analisis kualitas produk</t>
  </si>
  <si>
    <t>Analisis pasar target</t>
  </si>
  <si>
    <t>Analisis layanan pelanggan</t>
  </si>
  <si>
    <t>Analisis SWOT digunakan untuk mengevaluasi kekuatan (Strengths), kelemahan (Weaknesses), peluang (Opportunities), dan ancaman (Threats) yang dihadapi oleh usaha dalam konteks pemetaan kewirausahaan.</t>
  </si>
  <si>
    <t>Bagaimana cara menggunakan teknologi dalam pemetaan kewirausahaan?</t>
  </si>
  <si>
    <t>Untuk memasarkan produk secara global</t>
  </si>
  <si>
    <t>Untuk mengelola keuangan usaha</t>
  </si>
  <si>
    <t>Untuk memvisualisasikan data usaha</t>
  </si>
  <si>
    <t>Untuk mengurangi jumlah karyawan</t>
  </si>
  <si>
    <t>Untuk menentukan lokasi kantor</t>
  </si>
  <si>
    <t>Teknologi digunakan dalam pemetaan kewirausahaan untuk memvisualisasikan data usaha secara efektif dan membantu dalam pengambilan keputusan yang lebih baik.</t>
  </si>
  <si>
    <t>Apa yang harus diperhatikan dalam mengumpulkan data pasar dalam pemetaan kewirausahaan?</t>
  </si>
  <si>
    <t>Harga pesaing</t>
  </si>
  <si>
    <t>Tingkat pajak daerah</t>
  </si>
  <si>
    <t>Jumlah karyawan</t>
  </si>
  <si>
    <t>Data pasar seperti harga pesaing, permintaan pasar, dan preferensi konsumen harus diperhatikan dalam pemetaan kewirausahaan untuk menentukan strategi pemasaran dan pengembangan produk yang tepat.</t>
  </si>
  <si>
    <t>Mengapa penting untuk melakukan analisis kompetitor dalam pemetaan kewirausahaan?</t>
  </si>
  <si>
    <t>Untuk menghitung biaya produksi</t>
  </si>
  <si>
    <t>Untuk mengetahui keunggulan produk</t>
  </si>
  <si>
    <t>Untuk menambah jumlah tenaga kerja</t>
  </si>
  <si>
    <t>Analisis kompetitor membantu dalam memahami posisi pasar dan keunggulan bersaing, yang penting untuk pengambilan keputusan strategis dalam pemetaan kewirausahaan.</t>
  </si>
  <si>
    <t>Apa manfaat dari melakukan survei langsung dalam pemetaan kewirausahaan?</t>
  </si>
  <si>
    <t>Mengurangi biaya produksi</t>
  </si>
  <si>
    <t>Memperluas jaringan distributor</t>
  </si>
  <si>
    <t>Memperoleh umpan balik langsung dari konsumen</t>
  </si>
  <si>
    <t>Menambah jumlah karyawan</t>
  </si>
  <si>
    <t>Menetapkan harga jual produk</t>
  </si>
  <si>
    <t>Survei langsung memberikan informasi yang akurat dan umpan balik langsung dari konsumen yang sangat berharga dalam mengembangkan strategi pemasaran dan produk dalam pemetaan kewirausahaan.</t>
  </si>
  <si>
    <t>Elemen apa yang paling penting untuk dianalisis dalam penyusunan konsep analisis usaha?</t>
  </si>
  <si>
    <t>Kompetitor</t>
  </si>
  <si>
    <t>Modal</t>
  </si>
  <si>
    <t>Pasar target</t>
  </si>
  <si>
    <t>Lokasi usaha</t>
  </si>
  <si>
    <t>Kualitas produk</t>
  </si>
  <si>
    <t>Pasar target adalah elemen kunci karena menentukan siapa yang akan menjadi konsumen produk atau jasa yang ditawarkan. Memahami pasar target membantu dalam menentukan strategi pemasaran dan pengembangan produk.</t>
  </si>
  <si>
    <t>Data apa yang perlu dikumpulkan untuk analisis usaha yang komprehensif?</t>
  </si>
  <si>
    <t>Data demografis</t>
  </si>
  <si>
    <t>Data meteorologis</t>
  </si>
  <si>
    <t>Data agrikultur</t>
  </si>
  <si>
    <t>Data geologis</t>
  </si>
  <si>
    <t>Data sejarah</t>
  </si>
  <si>
    <t>Data demografis memberikan informasi tentang populasi, seperti usia, jenis kelamin, pendapatan, dan pendidikan, yang penting untuk memahami pasar dan kebutuhan konsumen.</t>
  </si>
  <si>
    <t>Metode apa yang dapat digunakan untuk memberikan layanan analisis usaha kepada wirausaha secara daring?</t>
  </si>
  <si>
    <t>Telepon</t>
  </si>
  <si>
    <t>Video conference</t>
  </si>
  <si>
    <t>Surat pos</t>
  </si>
  <si>
    <t>Kunjungan langsung</t>
  </si>
  <si>
    <t>Chatbot</t>
  </si>
  <si>
    <t>Video conference memungkinkan interaksi langsung dan real-time dengan klien, memberikan kemudahan dalam komunikasi dan diskusi mengenai analisis usaha.</t>
  </si>
  <si>
    <t>Apa tujuan utama dari monitoring layanan analisis usaha?</t>
  </si>
  <si>
    <t>Menambah jumlah klien</t>
  </si>
  <si>
    <t>Mengidentifikasi area yang perlu ditingkatkan</t>
  </si>
  <si>
    <t>Meningkatkan popularitas perusahaan</t>
  </si>
  <si>
    <t>Meningkatkan kecepatan layanan</t>
  </si>
  <si>
    <t>Monitoring layanan analisis usaha membantu dalam evaluasi kinerja layanan yang diberikan dan mengidentifikasi area yang perlu perbaikan untuk memberikan layanan yang lebih baik di masa mendatang.</t>
  </si>
  <si>
    <t>Elemen apa yang perlu dianalisis dalam penyusunan konsep konsultasi bisnis?</t>
  </si>
  <si>
    <t>Gaya hidup konsumen</t>
  </si>
  <si>
    <t>Struktur organisasi perusahaan</t>
  </si>
  <si>
    <t>Warna logo perusahaan</t>
  </si>
  <si>
    <t>Produk pesaing</t>
  </si>
  <si>
    <t>Struktur organisasi perusahaan penting untuk dianalisis karena mempengaruhi alur kerja, komunikasi, dan efisiensi operasional dalam perusahaan, yang merupakan aspek penting dalam konsultasi bisnis.</t>
  </si>
  <si>
    <t>Sumber data apa yang dapat digunakan untuk pengumpulan informasi dalam konsultasi bisnis?</t>
  </si>
  <si>
    <t>Laporan keuangan</t>
  </si>
  <si>
    <t>Artikel blog</t>
  </si>
  <si>
    <t>Buku resep</t>
  </si>
  <si>
    <t>Surat kabar</t>
  </si>
  <si>
    <t>Laporan keuangan memberikan informasi tentang kesehatan finansial perusahaan, yang sangat penting untuk analisis dalam konsultasi bisnis.</t>
  </si>
  <si>
    <t>Apa salah satu kelebihan memberikan layanan konsultasi bisnis secara luring?</t>
  </si>
  <si>
    <t>Lebih murah</t>
  </si>
  <si>
    <t>Interaksi langsung</t>
  </si>
  <si>
    <t>Fleksibel waktu</t>
  </si>
  <si>
    <t>Tanpa biaya transportasi</t>
  </si>
  <si>
    <t>Mudah diakses</t>
  </si>
  <si>
    <t>Interaksi langsung memungkinkan komunikasi yang lebih efektif dan pemahaman yang lebih baik tentang kebutuhan klien, sehingga konsultasi dapat lebih tepat sasaran.</t>
  </si>
  <si>
    <t>Alat apa yang dapat digunakan untuk memantau efektivitas layanan konsultasi bisnis?</t>
  </si>
  <si>
    <t>Aplikasi chatting</t>
  </si>
  <si>
    <t>Lembar evaluasi</t>
  </si>
  <si>
    <t>Kalender</t>
  </si>
  <si>
    <t>Situs web</t>
  </si>
  <si>
    <t>Lembar evaluasi membantu dalam mendapatkan umpan balik dari klien mengenai layanan yang diberikan, sehingga dapat mengidentifikasi kekuatan dan kelemahan untuk perbaikan di masa mendatang.</t>
  </si>
  <si>
    <t>Apa yang harus diidentifikasi terlebih dahulu sebelum menyusun konsep analisis usaha?</t>
  </si>
  <si>
    <t>Tujuan usaha</t>
  </si>
  <si>
    <t>Gaji karyawan</t>
  </si>
  <si>
    <t>Warna logo</t>
  </si>
  <si>
    <t>Ukuran gedung</t>
  </si>
  <si>
    <t>Lokasi pemasaran</t>
  </si>
  <si>
    <t>Tujuan usaha harus diidentifikasi terlebih dahulu karena akan menjadi dasar dalam menentukan strategi dan arah dari analisis usaha yang akan disusun.</t>
  </si>
  <si>
    <t>Mengapa penting untuk mengumpulkan data dari berbagai sumber saat melakukan konsultasi bisnis?</t>
  </si>
  <si>
    <t>Untuk menghindari kebosanan</t>
  </si>
  <si>
    <t>Untuk mendapatkan perspektif yang lebih luas</t>
  </si>
  <si>
    <t>Untuk meningkatkan jumlah data</t>
  </si>
  <si>
    <t>Mengumpulkan data dari berbagai sumber memberikan informasi yang lebih komprehensif dan beragam, sehingga analisis dan rekomendasi dalam konsultasi bisnis dapat lebih akurat dan mendalam.</t>
  </si>
  <si>
    <t>Apa yang harus diidentifikasi pertama kali dalam menganalisis kebutuhan pendampingan usaha?</t>
  </si>
  <si>
    <t>Kebutuhan modal</t>
  </si>
  <si>
    <t>Kebutuhan pelatihan</t>
  </si>
  <si>
    <t>Kebutuhan bahan baku</t>
  </si>
  <si>
    <t>Kebutuhan pasar</t>
  </si>
  <si>
    <t>Kebutuhan SDM</t>
  </si>
  <si>
    <t>Kebutuhan pelatihan adalah faktor utama yang perlu diidentifikasi untuk memastikan wirausaha memiliki keterampilan yang diperlukan.</t>
  </si>
  <si>
    <t>Mengapa penting untuk mengumpulkan data dan informasi sebelum memberikan pendampingan usaha?</t>
  </si>
  <si>
    <t>Untuk menghemat waktu</t>
  </si>
  <si>
    <t>Untuk menentukan strategi yang tepat</t>
  </si>
  <si>
    <t>Untuk menambah data</t>
  </si>
  <si>
    <t>Untuk memenuhi syarat administrasi</t>
  </si>
  <si>
    <t>Mengumpulkan data dan informasi penting agar pendampingan yang diberikan sesuai dengan kebutuhan spesifik wirausaha.</t>
  </si>
  <si>
    <t>Apa langkah pertama dalam memberikan layanan pendampingan pendaftaran perizinan berusaha?</t>
  </si>
  <si>
    <t>Mengisi formulir pendaftaran</t>
  </si>
  <si>
    <t>Menganalisis kebutuhan perizinan</t>
  </si>
  <si>
    <t>Mengumpulkan dokumen</t>
  </si>
  <si>
    <t>Mengunjungi kantor perizinan</t>
  </si>
  <si>
    <t>Membuat janji dengan pejabat terkait</t>
  </si>
  <si>
    <t>Menganalisis kebutuhan perizinan adalah langkah pertama untuk memahami jenis izin yang diperlukan.</t>
  </si>
  <si>
    <t>Sikap apa yang menunjukkan layanan pendampingan pemanfaatan sistem aplikasi pembukuan?</t>
  </si>
  <si>
    <t>Memarahi saat salah</t>
  </si>
  <si>
    <t>Mengajar dengan sabar</t>
  </si>
  <si>
    <t>Mengabaikan pertanyaan</t>
  </si>
  <si>
    <t>Memberi tugas tanpa penjelasan</t>
  </si>
  <si>
    <t>Memaksakan penggunaan aplikasi</t>
  </si>
  <si>
    <t>Mengajar dengan sabar adalah sikap yang tepat dalam memberikan layanan pendampingan aplikasi pembukuan agar wirausaha dapat memahami dengan baik.</t>
  </si>
  <si>
    <t>Apa tujuan utama dari memantau perkembangan wirausaha?</t>
  </si>
  <si>
    <t>Menambah beban administrasi</t>
  </si>
  <si>
    <t>Memastikan keberlanjutan usaha</t>
  </si>
  <si>
    <t>Mengontrol wirausaha</t>
  </si>
  <si>
    <t>Mengurangi risiko usaha</t>
  </si>
  <si>
    <t>Menambah jumlah data</t>
  </si>
  <si>
    <t>Memantau perkembangan wirausaha bertujuan untuk memastikan usaha berjalan sesuai rencana dan dapat berkelanjutan.</t>
  </si>
  <si>
    <t>Data apa yang paling penting untuk dikumpulkan dalam pendampingan usaha?</t>
  </si>
  <si>
    <t>Data keuangan usaha</t>
  </si>
  <si>
    <t>Data pribadi wirausaha</t>
  </si>
  <si>
    <t>Data keluarga wirausaha</t>
  </si>
  <si>
    <t>Data lingkungan usaha</t>
  </si>
  <si>
    <t>Data sosial wirausaha</t>
  </si>
  <si>
    <t>Data keuangan usaha adalah yang paling penting karena mencerminkan kesehatan finansial usaha tersebut.</t>
  </si>
  <si>
    <t>Bagaimana cara terbaik untuk mengumpulkan informasi pendampingan usaha?</t>
  </si>
  <si>
    <t>Menggunakan kuesioner</t>
  </si>
  <si>
    <t>Menggunakan prediksi</t>
  </si>
  <si>
    <t>Menggunakan tebakan</t>
  </si>
  <si>
    <t>Menggunakan kuesioner adalah cara terbaik karena memungkinkan pengumpulan data langsung dari wirausaha.</t>
  </si>
  <si>
    <t>Apa manfaat dari memberikan layanan pendampingan pendaftaran perizinan berusaha?</t>
  </si>
  <si>
    <t>Menghemat biaya usaha</t>
  </si>
  <si>
    <t>Mempercepat proses legalisasi usaha</t>
  </si>
  <si>
    <t>Meningkatkan pengetahuan hukum</t>
  </si>
  <si>
    <t>Mengurangi resiko usaha</t>
  </si>
  <si>
    <t>Memenuhi syarat administrasi</t>
  </si>
  <si>
    <t>Layanan pendampingan pendaftaran perizinan mempercepat proses legalisasi sehingga wirausaha bisa segera memulai operasional usaha secara resmi.</t>
  </si>
  <si>
    <t>Apa sikap yang tepat saat memberikan layanan pendampingan pemanfaatan sistem aplikasi pembukuan?</t>
  </si>
  <si>
    <t>Sabar dan jelas</t>
  </si>
  <si>
    <t>Cepat dan tegas</t>
  </si>
  <si>
    <t>Santai dan lambat</t>
  </si>
  <si>
    <t>Keras dan tegas</t>
  </si>
  <si>
    <t>Acuh tak acuh</t>
  </si>
  <si>
    <t>Sikap sabar dan jelas penting agar wirausaha dapat memahami penggunaan aplikasi pembukuan dengan baik.</t>
  </si>
  <si>
    <t>Apa yang harus dilakukan setelah memberikan layanan pendampingan usaha?</t>
  </si>
  <si>
    <t>Melakukan evaluasi</t>
  </si>
  <si>
    <t>Menyimpan data</t>
  </si>
  <si>
    <t>Mengarsipkan data</t>
  </si>
  <si>
    <t>Menyajikan data</t>
  </si>
  <si>
    <t>Menghitung data</t>
  </si>
  <si>
    <t>Melakukan evaluasi penting untuk menilai efektivitas pendampingan dan menentukan langkah perbaikan jika diperlukan.</t>
  </si>
  <si>
    <t>Apa yang harus diidentifikasi pertama kali dalam menganalisis kebutuhan pengembangan teknologi informasi bagi wirausaha?</t>
  </si>
  <si>
    <t>Kebutuhan teknologi</t>
  </si>
  <si>
    <t>Kebutuhan teknologi adalah yang utama karena fokus dari pengembangan adalah pada penerapan teknologi yang tepat bagi wirausaha.</t>
  </si>
  <si>
    <t>Mengapa penting untuk mengumpulkan data dan informasi sebelum pengembangan teknologi informasi?</t>
  </si>
  <si>
    <t>Untuk menentukan strategi pengembangan</t>
  </si>
  <si>
    <t>Mengumpulkan data dan informasi penting agar strategi pengembangan yang disusun sesuai dengan kebutuhan aktual wirausaha.</t>
  </si>
  <si>
    <t>Apa langkah pertama dalam penyusunan konsep pengembangan teknologi informasi?</t>
  </si>
  <si>
    <t>Menganalisis kebutuhan</t>
  </si>
  <si>
    <t>Mengumpulkan bahan</t>
  </si>
  <si>
    <t>Mengadakan pertemuan</t>
  </si>
  <si>
    <t>Menyusun anggaran</t>
  </si>
  <si>
    <t>Membuat rencana</t>
  </si>
  <si>
    <t>Menganalisis kebutuhan adalah langkah pertama untuk memahami kebutuhan spesifik yang harus dipenuhi oleh teknologi informasi yang akan dikembangkan.</t>
  </si>
  <si>
    <t>Apa manfaat utama dari menyusun profil teknologi informasi yang berhasil digunakan?</t>
  </si>
  <si>
    <t>Meningkatkan pengetahuan</t>
  </si>
  <si>
    <t>Menginspirasi wirausaha lain</t>
  </si>
  <si>
    <t>Mengurangi biaya</t>
  </si>
  <si>
    <t>Menambah data</t>
  </si>
  <si>
    <t>Menyusun profil teknologi informasi yang berhasil digunakan dapat menginspirasi wirausaha lain untuk mengadopsi teknologi yang sama.</t>
  </si>
  <si>
    <t>Data apa yang paling penting untuk dikumpulkan dalam pengembangan teknologi informasi?</t>
  </si>
  <si>
    <t>Data demografi</t>
  </si>
  <si>
    <t>Data keuangan</t>
  </si>
  <si>
    <t>Data kebutuhan teknologi</t>
  </si>
  <si>
    <t>Data lingkungan</t>
  </si>
  <si>
    <t>Data sosial</t>
  </si>
  <si>
    <t>Data kebutuhan teknologi adalah yang paling penting karena mencerminkan kebutuhan spesifik yang harus dipenuhi oleh teknologi yang akan dikembangkan.</t>
  </si>
  <si>
    <t>Bagaimana cara terbaik untuk mengidentifikasi wirausaha yang membutuhkan teknologi informasi?</t>
  </si>
  <si>
    <t>Melakukan survei</t>
  </si>
  <si>
    <t>Melakukan survei adalah cara terbaik untuk mendapatkan data langsung dari wirausaha mengenai kebutuhan teknologi informasi mereka.</t>
  </si>
  <si>
    <t>Apa tujuan utama dari menganalisis ketersediaan teknologi informasi?</t>
  </si>
  <si>
    <t>Memastikan aksesibilitas</t>
  </si>
  <si>
    <t>Menghemat waktu</t>
  </si>
  <si>
    <t>Memastikan aksesibilitas teknologi informasi bagi wirausaha adalah tujuan utama dari analisis ini.</t>
  </si>
  <si>
    <t>Mengapa penting untuk mengumpulkan ide usaha baru berbasis teknologi informasi?</t>
  </si>
  <si>
    <t>Untuk menginspirasi inovasi</t>
  </si>
  <si>
    <t>Mengumpulkan ide usaha baru berbasis teknologi informasi penting untuk menginspirasi inovasi dan perkembangan usaha baru.</t>
  </si>
  <si>
    <t>Apa yang harus dilakukan setelah pengumpulan data wirausaha yang membutuhkan teknologi informasi?</t>
  </si>
  <si>
    <t>Melakukan analisis</t>
  </si>
  <si>
    <t>Melakukan analisis adalah langkah berikutnya untuk memahami dan mengambil kesimpulan dari data yang telah dikumpulkan.</t>
  </si>
  <si>
    <t>Bagaimana cara terbaik untuk memantau perkembangan teknologi informasi dalam usaha?</t>
  </si>
  <si>
    <t>Menggunakan perangkat lunak monitoring</t>
  </si>
  <si>
    <t>Menggunakan pengamatan acak</t>
  </si>
  <si>
    <t>Menggunakan perangkat lunak monitoring adalah cara terbaik karena memberikan data yang akurat dan real-time tentang perkembangan teknologi.</t>
  </si>
  <si>
    <t>Mengapa penting untuk mendokumentasikan teknologi informasi yang berhasil digunakan?</t>
  </si>
  <si>
    <t>Untuk referensi di masa depan</t>
  </si>
  <si>
    <t>Mendokumentasikan teknologi yang berhasil digunakan penting sebagai referensi untuk pengembangan dan implementasi di masa depan.</t>
  </si>
  <si>
    <t>Apa yang harus diidentifikasi dalam menganalisis kebutuhan bahan pengembangan teknologi informasi?</t>
  </si>
  <si>
    <t>Kebutuhan teknologi adalah faktor utama yang harus diidentifikasi untuk memastikan pengembangan yang tepat.</t>
  </si>
  <si>
    <t>Apa langkah pertama dalam mengumpulkan bahan penyusunan konsep pengembangan teknologi informasi?</t>
  </si>
  <si>
    <t>Mengadakan survei</t>
  </si>
  <si>
    <t>Menghitung modal</t>
  </si>
  <si>
    <t>Membuat peta</t>
  </si>
  <si>
    <t>Mengatur pertemuan</t>
  </si>
  <si>
    <t>Menganalisis tren pasar</t>
  </si>
  <si>
    <t>Mengadakan survei adalah langkah pertama yang efektif untuk mengumpulkan data langsung dari sumbernya terkait kebutuhan teknologi.</t>
  </si>
  <si>
    <t>Apa manfaat dari menggunakan kuesioner dalam pengumpulan data teknologi informasi?</t>
  </si>
  <si>
    <t>Menghemat biaya</t>
  </si>
  <si>
    <t>Mendapatkan data akurat</t>
  </si>
  <si>
    <t>Mengurangi waktu pengumpulan</t>
  </si>
  <si>
    <t>Memperbanyak responden</t>
  </si>
  <si>
    <t>Mengurangi kesalahan</t>
  </si>
  <si>
    <t>Kuesioner membantu mendapatkan data akurat karena memungkinkan pengumpulan informasi langsung dari sumber yang relevan.</t>
  </si>
  <si>
    <t>Apa yang harus dilakukan setelah data teknologi informasi terkumpul dan diorganisasi?</t>
  </si>
  <si>
    <t>Melakukan analisis adalah langkah berikutnya untuk memahami dan mengambil kesimpulan dari data yang telah dikumpulkan dan diorganisasi.</t>
  </si>
  <si>
    <t>Bagaimana cara terbaik untuk mengumpulkan ide usaha baru berbasis teknologi informasi?</t>
  </si>
  <si>
    <t>Brainstorming</t>
  </si>
  <si>
    <t>Prediksi</t>
  </si>
  <si>
    <t>Simulasi</t>
  </si>
  <si>
    <t>Dugaan</t>
  </si>
  <si>
    <t>Estimasi</t>
  </si>
  <si>
    <t>Brainstorming adalah metode yang efektif untuk mengumpulkan ide usaha baru karena melibatkan diskusi kreatif dan kolaboratif.</t>
  </si>
  <si>
    <t>Apa yang harus dilakukan untuk memantau pemanfaatan teknologi informasi dalam usaha?</t>
  </si>
  <si>
    <t>Menggunakan sistem monitoring</t>
  </si>
  <si>
    <t>Menggunakan sistem monitoring adalah cara terbaik untuk memantau pemanfaatan teknologi informasi secara akurat dan efisien.</t>
  </si>
  <si>
    <t>Mengapa penting untuk melakukan evaluasi setelah pengembangan teknologi informasi?</t>
  </si>
  <si>
    <t>Untuk mengukur keberhasilan</t>
  </si>
  <si>
    <t>Melakukan evaluasi penting untuk mengukur keberhasilan dan menentukan langkah perbaikan jika diperlukan.</t>
  </si>
  <si>
    <t>Apa yang harus dilakukan setelah menyusun profil teknologi informasi yang berhasil digunakan?</t>
  </si>
  <si>
    <t>Membagikan kepada wirausaha lain</t>
  </si>
  <si>
    <t>Membagikan profil yang berhasil digunakan dapat menginspirasi dan membantu wirausaha lain dalam pengembangan teknologi informasi mereka.</t>
  </si>
  <si>
    <t>Apa yang harus disusun dalam dokumentasi informasi tentang inkubasi wirausaha?</t>
  </si>
  <si>
    <t>Profil usaha</t>
  </si>
  <si>
    <t>Informasi pasar</t>
  </si>
  <si>
    <t>Rencana bisnis</t>
  </si>
  <si>
    <t>Pengalaman kerja</t>
  </si>
  <si>
    <t>Dokumentasi informasi tentang inkubasi wirausaha mencakup rencana bisnis yang jelas sebagai dasar pengembangan usaha.</t>
  </si>
  <si>
    <t>Mengapa penting untuk menyebarluaskan informasi tentang inkubasi wirausaha secara daring dan luring?</t>
  </si>
  <si>
    <t>Untuk menghemat biaya</t>
  </si>
  <si>
    <t>Untuk memperluas jaringan</t>
  </si>
  <si>
    <t>Untuk mengurangi risiko</t>
  </si>
  <si>
    <t>Menyebarluaskan informasi tentang inkubasi secara luas membantu memperluas jaringan dan akses untuk wirausaha potensial.</t>
  </si>
  <si>
    <t>Apa yang harus dianalisis dalam potensi pembentukan dan pengembangan inkubator wirausaha?</t>
  </si>
  <si>
    <t>Lokasi fisik</t>
  </si>
  <si>
    <t>Ketersediaan pasar</t>
  </si>
  <si>
    <t>Ketersediaan teknologi</t>
  </si>
  <si>
    <t>Analisis potensi pembentukan dan pengembangan inkubator wirausaha harus mencakup evaluasi lokasi fisik yang strategis.</t>
  </si>
  <si>
    <t>Mengapa penting untuk mendokumentasikan informasi tentang pembiayaan alternatif bagi wirausaha?</t>
  </si>
  <si>
    <t>Untuk referensi masa depan</t>
  </si>
  <si>
    <t>Mendokumentasikan informasi pembiayaan alternatif penting untuk referensi di masa depan dalam pengambilan keputusan finansial.</t>
  </si>
  <si>
    <t>Apa sikap yang tepat saat memberikan layanan pendampingan teknologi informasi?</t>
  </si>
  <si>
    <t>Sikap sabar dan jelas penting agar wirausaha dapat memahami penggunaan teknologi informasi dengan baik.</t>
  </si>
  <si>
    <t>Apa yang harus dimonitor dalam pelaksanaan pembiayaan alternatif bagi wirausaha?</t>
  </si>
  <si>
    <t>Tingkat keuntungan</t>
  </si>
  <si>
    <t>Pengeluaran pribadi</t>
  </si>
  <si>
    <t>Penggunaan dana</t>
  </si>
  <si>
    <t>Tingkat inflasi</t>
  </si>
  <si>
    <t>Monitoring pelaksanaan pembiayaan alternatif harus mencakup penggunaan dana yang efisien dan sesuai dengan tujuan usaha.</t>
  </si>
  <si>
    <t>Apa yang harus diidentifikasi dalam menganalisis kebutuhan bahan penyusunan konsep pengembangan permodalan?</t>
  </si>
  <si>
    <t>Identifikasi kebutuhan modal adalah langkah pertama untuk memastikan permodalan yang memadai dalam pengembangan usaha.</t>
  </si>
  <si>
    <t>Apa langkah pertama dalam pengumpulan data untuk penyusunan konsep pengembangan permodalan?</t>
  </si>
  <si>
    <t>Langkah pertama yang efektif adalah mengadakan survei untuk mendapatkan data langsung dari sumbernya.</t>
  </si>
  <si>
    <t>Mengapa penting untuk memantau pelaksanaan pengembangan permodalan bagi wirausaha?</t>
  </si>
  <si>
    <t>Untuk menambah beban administrasi</t>
  </si>
  <si>
    <t>Untuk memastikan keberlanjutan</t>
  </si>
  <si>
    <t>Untuk mengontrol wirausaha</t>
  </si>
  <si>
    <t>Untuk mengurangi risiko usaha</t>
  </si>
  <si>
    <t>Untuk menambah jumlah data</t>
  </si>
  <si>
    <t>Memantau pelaksanaan pengembangan permodalan penting untuk memastikan keberlanjutan dan efektivitas penggunaan modal.</t>
  </si>
  <si>
    <t>Apa manfaat dari menggunakan informasi pasar dalam dokumentasi inkubasi wirausaha?</t>
  </si>
  <si>
    <t>Memahami persaingan</t>
  </si>
  <si>
    <t>Meningkatkan biaya</t>
  </si>
  <si>
    <t>Menurunkan risiko</t>
  </si>
  <si>
    <t>Memastikan pasar</t>
  </si>
  <si>
    <t>Informasi pasar membantu memahami persaingan dan memastikan strategi yang tepat dalam pengembangan usaha.</t>
  </si>
  <si>
    <t>Bagaimana cara terbaik untuk menyebarluaskan informasi mengenai inkubasi wirausaha secara daring?</t>
  </si>
  <si>
    <t>Menggunakan media sosial</t>
  </si>
  <si>
    <t>Menggunakan media cetak</t>
  </si>
  <si>
    <t>Menggunakan siaran langsung</t>
  </si>
  <si>
    <t>Menggunakan billboard</t>
  </si>
  <si>
    <t>Menggunakan selebaran</t>
  </si>
  <si>
    <t>Menggunakan media sosial adalah cara terbaik karena mencapai audiens yang luas dan dapat berinteraksi secara langsung.</t>
  </si>
  <si>
    <t>Apa yang harus dianalisis dalam kebutuhan bahan penyusunan konsep pengembangan ekosistem bisnis?</t>
  </si>
  <si>
    <t>Kebutuhan sumber daya alam</t>
  </si>
  <si>
    <t>Analisis kebutuhan modal adalah langkah pertama untuk memastikan pengembangan ekosistem bisnis yang berhasil.</t>
  </si>
  <si>
    <t>Bagaimana cara terbaik untuk mengumpulkan bahan penyusunan konsep pengembangan ekosistem bisnis?</t>
  </si>
  <si>
    <t>Melakukan wawancara</t>
  </si>
  <si>
    <t>Menghitung keuntungan</t>
  </si>
  <si>
    <t>Membuat proposal</t>
  </si>
  <si>
    <t>Menyusun laporan</t>
  </si>
  <si>
    <t>Menganalisis risiko</t>
  </si>
  <si>
    <t>Wawancara langsung adalah cara terbaik untuk mengumpulkan data yang komprehensif dalam penyusunan konsep pengembangan ekosistem bisnis.</t>
  </si>
  <si>
    <t>Mengapa penting untuk memantau peran dunia usaha dan industri dalam pengembangan ekosistem bisnis?</t>
  </si>
  <si>
    <t>Untuk menurunkan efisiensi</t>
  </si>
  <si>
    <t>Untuk meningkatkan risiko</t>
  </si>
  <si>
    <t>Memantau peran dunia usaha dan industri membantu dalam memperluas jaringan dan meningkatkan kolaborasi dalam pengembangan ekosistem bisnis.</t>
  </si>
  <si>
    <t>Apa yang harus disusun dalam dokumentasi informasi tentang pengembangan ekosistem bisnis?</t>
  </si>
  <si>
    <t>Informasi pribadi</t>
  </si>
  <si>
    <t>Proposal proyek</t>
  </si>
  <si>
    <t>Dokumentasi tentang pengembangan ekosistem bisnis harus mencakup rencana bisnis sebagai pedoman strategis.</t>
  </si>
  <si>
    <t>Mengapa penting untuk menganalisis kebutuhan bahan penyusunan konsep pengembangan ekosistem bisnis?</t>
  </si>
  <si>
    <t>Untuk memahami pasar</t>
  </si>
  <si>
    <t>Untuk mengevaluasi persaingan</t>
  </si>
  <si>
    <t>Untuk menambah biaya</t>
  </si>
  <si>
    <t>Analisis kebutuhan pasar adalah kunci untuk memahami kebutuhan dan tantangan dalam pengembangan ekosistem bisnis.</t>
  </si>
  <si>
    <t>Apa yang harus dimonitor dalam pelaksanaan sikap memantau peran dunia usaha dan industri dalam pengembangan ekosistem bisnis?</t>
  </si>
  <si>
    <t>Memantau tingkat keuntungan adalah penting untuk mengukur keberhasilan dalam memantau peran dunia usaha dan industri dalam pengembangan ekosistem bisnis.</t>
  </si>
  <si>
    <t>Apa manfaat dari menggunakan informasi pasar dalam pengembangan ekosistem bisnis?</t>
  </si>
  <si>
    <t>Memahami tren pasar</t>
  </si>
  <si>
    <t>Menambah biaya</t>
  </si>
  <si>
    <t>Meningkatkan keuntungan</t>
  </si>
  <si>
    <t>Menetapkan tujuan</t>
  </si>
  <si>
    <t>Informasi pasar membantu dalam memahami tren pasar dan menyesuaikan strategi dalam pengembangan ekosistem bisnis.</t>
  </si>
  <si>
    <t>Bagaimana cara terbaik untuk menyebarluaskan informasi mengenai pengembangan ekosistem bisnis secara daring dan luring?</t>
  </si>
  <si>
    <t>Melalui webinar dan seminar</t>
  </si>
  <si>
    <t>Melalui surat kabar</t>
  </si>
  <si>
    <t>Melalui brosur</t>
  </si>
  <si>
    <t>Melalui siaran langsung</t>
  </si>
  <si>
    <t>Melalui radio</t>
  </si>
  <si>
    <t>Webinar dan seminar adalah cara efektif untuk menjangkau audiens luas secara daring dalam mengenalkan pengembangan ekosistem bisnis.</t>
  </si>
  <si>
    <t>Apa yang dimaksud dengan inkubasi wirausaha?</t>
  </si>
  <si>
    <t>Proses pembuahan sel telur</t>
  </si>
  <si>
    <t>Proses mendukung perkembangan usaha baru</t>
  </si>
  <si>
    <t>Proses pertumbuhan tanaman</t>
  </si>
  <si>
    <t>Proses pembelahan sel</t>
  </si>
  <si>
    <t>Proses pembuatan makanan</t>
  </si>
  <si>
    <t>Inkubasi wirausaha adalah proses mendukung dan memfasilitasi perkembangan usaha baru atau startup.</t>
  </si>
  <si>
    <t>Mengapa inkubasi wirausaha penting dalam ekosistem bisnis?</t>
  </si>
  <si>
    <t>Untuk membatasi jumlah usaha baru</t>
  </si>
  <si>
    <t>Untuk meningkatkan persaingan</t>
  </si>
  <si>
    <t>Untuk menjamin keberlanjutan bisnis</t>
  </si>
  <si>
    <t>Untuk mendukung inovasi dan kreativitas</t>
  </si>
  <si>
    <t>Untuk mengurangi jumlah pekerja</t>
  </si>
  <si>
    <t>Inkubasi wirausaha penting karena membantu dalam mendukung inovasi dan kreativitas dalam ekosistem bisnis.</t>
  </si>
  <si>
    <t>Apa yang harus dilakukan dalam menyusun informasi tentang inkubasi wirausaha?</t>
  </si>
  <si>
    <t>Menyusun rencana pemasaran</t>
  </si>
  <si>
    <t>Menyusun rencana bisnis</t>
  </si>
  <si>
    <t>Menyusun rencana liburan</t>
  </si>
  <si>
    <t>Menyusun rencana perjalanan</t>
  </si>
  <si>
    <t>Menyusun rencana makanan</t>
  </si>
  <si>
    <t>Menyusun rencana bisnis adalah langkah pertama dalam menyusun informasi tentang inkubasi wirausaha.</t>
  </si>
  <si>
    <t>Bagaimana cara efektif untuk menyebarluaskan informasi mengenai inkubasi wirausaha?</t>
  </si>
  <si>
    <t>Melalui media sosial</t>
  </si>
  <si>
    <t>Melalui tembok rumah</t>
  </si>
  <si>
    <t>Melalui tangga rumah</t>
  </si>
  <si>
    <t>Melalui atap rumah</t>
  </si>
  <si>
    <t>Media sosial adalah cara efektif untuk menjangkau audiens yang luas dalam menyebarkan informasi mengenai inkubasi wirausaha.</t>
  </si>
  <si>
    <t>Apa manfaat dari menganalisis potensi pembentukan dan pengembangan inkubator wirausaha?</t>
  </si>
  <si>
    <t>Mengurangi risiko bisnis</t>
  </si>
  <si>
    <t>Meningkatkan biaya operasional</t>
  </si>
  <si>
    <t>Membatasi inovasi</t>
  </si>
  <si>
    <t>Mengurangi kebutuhan sumber daya</t>
  </si>
  <si>
    <t>Meningkatkan daya saing</t>
  </si>
  <si>
    <t>Menganalisis potensi pembentukan dan pengembangan inkubator wirausaha membantu dalam mengurangi risiko bisnis dan meningkatkan daya saing usaha baru.</t>
  </si>
  <si>
    <t>Mengapa penting untuk menyusun informasi atau literasi mengenai pembiayaan alternatif bagi wirausaha?</t>
  </si>
  <si>
    <t>Untuk mengetahui jenis tumbuhan</t>
  </si>
  <si>
    <t>Untuk memahami tata cara mengikat perut</t>
  </si>
  <si>
    <t>Untuk menghadapi tantangan dalam upaya untuk memahami</t>
  </si>
  <si>
    <t>Untuk memahami indikator indikator pasar</t>
  </si>
  <si>
    <t>Untuk membuka waktu perdagangan</t>
  </si>
  <si>
    <t>Menyusun informasi atau literasi mengenai pembiayaan alternatif bagi wirausaha penting untuk memahami berbagai pilihan pembiayaan yang dapat mendukung pertumbuhan usaha.</t>
  </si>
  <si>
    <t>Apa yang harus dilakukan dalam menyusun informasi atau literasi mengenai pembiayaan alternatif bagi wirausaha?</t>
  </si>
  <si>
    <t>Mengikat tumbuh tali bokong</t>
  </si>
  <si>
    <t>Menjembatani tantangan dalam upaya pemahaman</t>
  </si>
  <si>
    <t>Memahami indikator pasar</t>
  </si>
  <si>
    <t>Membuka waktu perdagangan</t>
  </si>
  <si>
    <t>Menyusun informasi atau literasi mengenai pembiayaan alternatif bagi wirausaha melibatkan analisis mendalam terhadap berbagai jenis pembiayaan yang tersedia.</t>
  </si>
  <si>
    <t>Mengapa penting untuk memonitor pelaksanaan pembiayaan alternatif bagi wirausaha?</t>
  </si>
  <si>
    <t>Untuk memantau keuntungan</t>
  </si>
  <si>
    <t>Untuk mengukur risiko</t>
  </si>
  <si>
    <t>Untuk mengukur panjang tali bokong</t>
  </si>
  <si>
    <t>Untuk menyelidiki pasar indera</t>
  </si>
  <si>
    <t>Untuk mengetahui kelembutan perdagangan</t>
  </si>
  <si>
    <t>Memantau pelaksanaan pembiayaan alternatif penting untuk mengukur risiko dan memastikan keberlanjutan keuangan usaha.</t>
  </si>
  <si>
    <t>Apa yang harus dilakukan dalam menentukan sikap yang menunjukkan pemanfaatan sistem aplikasi pembukuan bagi wirausaha mikro dan kecil?</t>
  </si>
  <si>
    <t>Melakukan penjualan terbalik</t>
  </si>
  <si>
    <t>Menerapkan sistem penjualan rahasia</t>
  </si>
  <si>
    <t>Membuat atau membeli produk</t>
  </si>
  <si>
    <t>Menyusun rencana keuangan</t>
  </si>
  <si>
    <t>Memiliki mobil</t>
  </si>
  <si>
    <t>Menyusun rencana keuangan adalah langkah penting dalam menunjukkan pemanfaatan sistem aplikasi pembukuan bagi wirausaha mikro dan kecil.</t>
  </si>
  <si>
    <t>Mengapa penting untuk memantau perkembangan wirausaha?</t>
  </si>
  <si>
    <t>Untuk mengetahui daya kerja</t>
  </si>
  <si>
    <t>Untuk menambah daya tarik</t>
  </si>
  <si>
    <t>Untuk memahami metode terbaik</t>
  </si>
  <si>
    <t>Untuk menilai kelembutan kotoran</t>
  </si>
  <si>
    <t>Untuk menilai risiko</t>
  </si>
  <si>
    <t>E</t>
  </si>
  <si>
    <t>Memantau perkembangan wirausaha penting untuk menilai risiko dan memahami kebutuhan perusahaan dalam menghadapi tantangan pasar.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</si>
</sst>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1" t="s">
        <v>12</v>
      </c>
    </row>
    <row r="2">
      <c r="A2" s="3" t="s">
        <v>13</v>
      </c>
      <c r="B2" s="3" t="s">
        <v>14</v>
      </c>
      <c r="C2" s="4">
        <f t="shared" ref="C2:C101" si="1">IF(L2="A", 1, 0)</f>
        <v>0</v>
      </c>
      <c r="D2" s="3" t="s">
        <v>15</v>
      </c>
      <c r="E2" s="4">
        <f t="shared" ref="E2:E101" si="2">IF(L2="B", 1, 0)</f>
        <v>0</v>
      </c>
      <c r="F2" s="3" t="s">
        <v>16</v>
      </c>
      <c r="G2" s="4">
        <f t="shared" ref="G2:G101" si="3">IF(L2="C", 1, 0)</f>
        <v>1</v>
      </c>
      <c r="H2" s="3" t="s">
        <v>17</v>
      </c>
      <c r="I2" s="4">
        <f t="shared" ref="I2:I101" si="4">IF(L2="D", 1, 0)</f>
        <v>0</v>
      </c>
      <c r="J2" s="3" t="s">
        <v>18</v>
      </c>
      <c r="K2" s="4">
        <f t="shared" ref="K2:K101" si="5">IF(L2="E", 1, 0)</f>
        <v>0</v>
      </c>
      <c r="L2" s="3" t="s">
        <v>19</v>
      </c>
      <c r="M2" s="5" t="s">
        <v>20</v>
      </c>
    </row>
    <row r="3">
      <c r="A3" s="3" t="s">
        <v>21</v>
      </c>
      <c r="B3" s="3" t="s">
        <v>22</v>
      </c>
      <c r="C3" s="4">
        <f t="shared" si="1"/>
        <v>0</v>
      </c>
      <c r="D3" s="3" t="s">
        <v>23</v>
      </c>
      <c r="E3" s="4">
        <f t="shared" si="2"/>
        <v>1</v>
      </c>
      <c r="F3" s="3" t="s">
        <v>24</v>
      </c>
      <c r="G3" s="4">
        <f t="shared" si="3"/>
        <v>0</v>
      </c>
      <c r="H3" s="3" t="s">
        <v>25</v>
      </c>
      <c r="I3" s="4">
        <f t="shared" si="4"/>
        <v>0</v>
      </c>
      <c r="J3" s="3" t="s">
        <v>26</v>
      </c>
      <c r="K3" s="4">
        <f t="shared" si="5"/>
        <v>0</v>
      </c>
      <c r="L3" s="3" t="s">
        <v>27</v>
      </c>
      <c r="M3" s="5" t="s">
        <v>28</v>
      </c>
    </row>
    <row r="4">
      <c r="A4" s="3" t="s">
        <v>29</v>
      </c>
      <c r="B4" s="3" t="s">
        <v>30</v>
      </c>
      <c r="C4" s="4">
        <f t="shared" si="1"/>
        <v>1</v>
      </c>
      <c r="D4" s="3" t="s">
        <v>31</v>
      </c>
      <c r="E4" s="4">
        <f t="shared" si="2"/>
        <v>0</v>
      </c>
      <c r="F4" s="3" t="s">
        <v>32</v>
      </c>
      <c r="G4" s="4">
        <f t="shared" si="3"/>
        <v>0</v>
      </c>
      <c r="H4" s="3" t="s">
        <v>33</v>
      </c>
      <c r="I4" s="4">
        <f t="shared" si="4"/>
        <v>0</v>
      </c>
      <c r="J4" s="3" t="s">
        <v>34</v>
      </c>
      <c r="K4" s="4">
        <f t="shared" si="5"/>
        <v>0</v>
      </c>
      <c r="L4" s="3" t="s">
        <v>35</v>
      </c>
      <c r="M4" s="5" t="s">
        <v>36</v>
      </c>
    </row>
    <row r="5">
      <c r="A5" s="3" t="s">
        <v>37</v>
      </c>
      <c r="B5" s="3" t="s">
        <v>38</v>
      </c>
      <c r="C5" s="4">
        <f t="shared" si="1"/>
        <v>0</v>
      </c>
      <c r="D5" s="3" t="s">
        <v>39</v>
      </c>
      <c r="E5" s="4">
        <f t="shared" si="2"/>
        <v>1</v>
      </c>
      <c r="F5" s="3" t="s">
        <v>40</v>
      </c>
      <c r="G5" s="4">
        <f t="shared" si="3"/>
        <v>0</v>
      </c>
      <c r="H5" s="3" t="s">
        <v>41</v>
      </c>
      <c r="I5" s="4">
        <f t="shared" si="4"/>
        <v>0</v>
      </c>
      <c r="J5" s="3" t="s">
        <v>42</v>
      </c>
      <c r="K5" s="4">
        <f t="shared" si="5"/>
        <v>0</v>
      </c>
      <c r="L5" s="3" t="s">
        <v>27</v>
      </c>
      <c r="M5" s="5" t="s">
        <v>43</v>
      </c>
    </row>
    <row r="6">
      <c r="A6" s="3" t="s">
        <v>44</v>
      </c>
      <c r="B6" s="3" t="s">
        <v>45</v>
      </c>
      <c r="C6" s="4">
        <f t="shared" si="1"/>
        <v>1</v>
      </c>
      <c r="D6" s="3" t="s">
        <v>46</v>
      </c>
      <c r="E6" s="4">
        <f t="shared" si="2"/>
        <v>0</v>
      </c>
      <c r="F6" s="3" t="s">
        <v>47</v>
      </c>
      <c r="G6" s="4">
        <f t="shared" si="3"/>
        <v>0</v>
      </c>
      <c r="H6" s="3" t="s">
        <v>48</v>
      </c>
      <c r="I6" s="4">
        <f t="shared" si="4"/>
        <v>0</v>
      </c>
      <c r="J6" s="3" t="s">
        <v>49</v>
      </c>
      <c r="K6" s="4">
        <f t="shared" si="5"/>
        <v>0</v>
      </c>
      <c r="L6" s="3" t="s">
        <v>35</v>
      </c>
      <c r="M6" s="5" t="s">
        <v>50</v>
      </c>
    </row>
    <row r="7">
      <c r="A7" s="3" t="s">
        <v>51</v>
      </c>
      <c r="B7" s="3" t="s">
        <v>52</v>
      </c>
      <c r="C7" s="4">
        <f t="shared" si="1"/>
        <v>0</v>
      </c>
      <c r="D7" s="3" t="s">
        <v>53</v>
      </c>
      <c r="E7" s="4">
        <f t="shared" si="2"/>
        <v>1</v>
      </c>
      <c r="F7" s="3" t="s">
        <v>54</v>
      </c>
      <c r="G7" s="4">
        <f t="shared" si="3"/>
        <v>0</v>
      </c>
      <c r="H7" s="3" t="s">
        <v>55</v>
      </c>
      <c r="I7" s="4">
        <f t="shared" si="4"/>
        <v>0</v>
      </c>
      <c r="J7" s="3" t="s">
        <v>56</v>
      </c>
      <c r="K7" s="4">
        <f t="shared" si="5"/>
        <v>0</v>
      </c>
      <c r="L7" s="3" t="s">
        <v>27</v>
      </c>
      <c r="M7" s="5" t="s">
        <v>57</v>
      </c>
    </row>
    <row r="8">
      <c r="A8" s="3" t="s">
        <v>58</v>
      </c>
      <c r="B8" s="3" t="s">
        <v>59</v>
      </c>
      <c r="C8" s="4">
        <f t="shared" si="1"/>
        <v>1</v>
      </c>
      <c r="D8" s="3" t="s">
        <v>60</v>
      </c>
      <c r="E8" s="4">
        <f t="shared" si="2"/>
        <v>0</v>
      </c>
      <c r="F8" s="3" t="s">
        <v>61</v>
      </c>
      <c r="G8" s="4">
        <f t="shared" si="3"/>
        <v>0</v>
      </c>
      <c r="H8" s="3" t="s">
        <v>62</v>
      </c>
      <c r="I8" s="4">
        <f t="shared" si="4"/>
        <v>0</v>
      </c>
      <c r="J8" s="3" t="s">
        <v>63</v>
      </c>
      <c r="K8" s="4">
        <f t="shared" si="5"/>
        <v>0</v>
      </c>
      <c r="L8" s="3" t="s">
        <v>35</v>
      </c>
      <c r="M8" s="5" t="s">
        <v>64</v>
      </c>
    </row>
    <row r="9">
      <c r="A9" s="3" t="s">
        <v>65</v>
      </c>
      <c r="B9" s="3" t="s">
        <v>66</v>
      </c>
      <c r="C9" s="4">
        <f t="shared" si="1"/>
        <v>1</v>
      </c>
      <c r="D9" s="3" t="s">
        <v>67</v>
      </c>
      <c r="E9" s="4">
        <f t="shared" si="2"/>
        <v>0</v>
      </c>
      <c r="F9" s="3" t="s">
        <v>68</v>
      </c>
      <c r="G9" s="4">
        <f t="shared" si="3"/>
        <v>0</v>
      </c>
      <c r="H9" s="3" t="s">
        <v>69</v>
      </c>
      <c r="I9" s="4">
        <f t="shared" si="4"/>
        <v>0</v>
      </c>
      <c r="J9" s="3" t="s">
        <v>31</v>
      </c>
      <c r="K9" s="4">
        <f t="shared" si="5"/>
        <v>0</v>
      </c>
      <c r="L9" s="3" t="s">
        <v>35</v>
      </c>
      <c r="M9" s="5" t="s">
        <v>70</v>
      </c>
    </row>
    <row r="10">
      <c r="A10" s="3" t="s">
        <v>71</v>
      </c>
      <c r="B10" s="3" t="s">
        <v>72</v>
      </c>
      <c r="C10" s="4">
        <f t="shared" si="1"/>
        <v>1</v>
      </c>
      <c r="D10" s="3" t="s">
        <v>73</v>
      </c>
      <c r="E10" s="4">
        <f t="shared" si="2"/>
        <v>0</v>
      </c>
      <c r="F10" s="3" t="s">
        <v>74</v>
      </c>
      <c r="G10" s="4">
        <f t="shared" si="3"/>
        <v>0</v>
      </c>
      <c r="H10" s="3" t="s">
        <v>75</v>
      </c>
      <c r="I10" s="4">
        <f t="shared" si="4"/>
        <v>0</v>
      </c>
      <c r="J10" s="3" t="s">
        <v>76</v>
      </c>
      <c r="K10" s="4">
        <f t="shared" si="5"/>
        <v>0</v>
      </c>
      <c r="L10" s="3" t="s">
        <v>35</v>
      </c>
      <c r="M10" s="5" t="s">
        <v>77</v>
      </c>
    </row>
    <row r="11">
      <c r="A11" s="3" t="s">
        <v>78</v>
      </c>
      <c r="B11" s="3" t="s">
        <v>79</v>
      </c>
      <c r="C11" s="4">
        <f t="shared" si="1"/>
        <v>1</v>
      </c>
      <c r="D11" s="3" t="s">
        <v>80</v>
      </c>
      <c r="E11" s="4">
        <f t="shared" si="2"/>
        <v>0</v>
      </c>
      <c r="F11" s="3" t="s">
        <v>81</v>
      </c>
      <c r="G11" s="4">
        <f t="shared" si="3"/>
        <v>0</v>
      </c>
      <c r="H11" s="3" t="s">
        <v>82</v>
      </c>
      <c r="I11" s="4">
        <f t="shared" si="4"/>
        <v>0</v>
      </c>
      <c r="J11" s="3" t="s">
        <v>83</v>
      </c>
      <c r="K11" s="4">
        <f t="shared" si="5"/>
        <v>0</v>
      </c>
      <c r="L11" s="3" t="s">
        <v>35</v>
      </c>
      <c r="M11" s="5" t="s">
        <v>84</v>
      </c>
    </row>
    <row r="12">
      <c r="A12" s="3" t="s">
        <v>85</v>
      </c>
      <c r="B12" s="3" t="s">
        <v>86</v>
      </c>
      <c r="C12" s="4">
        <f t="shared" si="1"/>
        <v>0</v>
      </c>
      <c r="D12" s="3" t="s">
        <v>87</v>
      </c>
      <c r="E12" s="4">
        <f t="shared" si="2"/>
        <v>1</v>
      </c>
      <c r="F12" s="3" t="s">
        <v>88</v>
      </c>
      <c r="G12" s="4">
        <f t="shared" si="3"/>
        <v>0</v>
      </c>
      <c r="H12" s="3" t="s">
        <v>89</v>
      </c>
      <c r="I12" s="4">
        <f t="shared" si="4"/>
        <v>0</v>
      </c>
      <c r="J12" s="3" t="s">
        <v>90</v>
      </c>
      <c r="K12" s="4">
        <f t="shared" si="5"/>
        <v>0</v>
      </c>
      <c r="L12" s="3" t="s">
        <v>27</v>
      </c>
      <c r="M12" s="5" t="s">
        <v>91</v>
      </c>
    </row>
    <row r="13">
      <c r="A13" s="3" t="s">
        <v>92</v>
      </c>
      <c r="B13" s="3" t="s">
        <v>93</v>
      </c>
      <c r="C13" s="4">
        <f t="shared" si="1"/>
        <v>0</v>
      </c>
      <c r="D13" s="3" t="s">
        <v>94</v>
      </c>
      <c r="E13" s="4">
        <f t="shared" si="2"/>
        <v>0</v>
      </c>
      <c r="F13" s="3" t="s">
        <v>95</v>
      </c>
      <c r="G13" s="4">
        <f t="shared" si="3"/>
        <v>1</v>
      </c>
      <c r="H13" s="3" t="s">
        <v>96</v>
      </c>
      <c r="I13" s="4">
        <f t="shared" si="4"/>
        <v>0</v>
      </c>
      <c r="J13" s="3" t="s">
        <v>97</v>
      </c>
      <c r="K13" s="4">
        <f t="shared" si="5"/>
        <v>0</v>
      </c>
      <c r="L13" s="3" t="s">
        <v>19</v>
      </c>
      <c r="M13" s="5" t="s">
        <v>98</v>
      </c>
    </row>
    <row r="14">
      <c r="A14" s="3" t="s">
        <v>99</v>
      </c>
      <c r="B14" s="3" t="s">
        <v>100</v>
      </c>
      <c r="C14" s="4">
        <f t="shared" si="1"/>
        <v>0</v>
      </c>
      <c r="D14" s="3" t="s">
        <v>101</v>
      </c>
      <c r="E14" s="4">
        <f t="shared" si="2"/>
        <v>1</v>
      </c>
      <c r="F14" s="3" t="s">
        <v>102</v>
      </c>
      <c r="G14" s="4">
        <f t="shared" si="3"/>
        <v>0</v>
      </c>
      <c r="H14" s="3" t="s">
        <v>103</v>
      </c>
      <c r="I14" s="4">
        <f t="shared" si="4"/>
        <v>0</v>
      </c>
      <c r="J14" s="3" t="s">
        <v>104</v>
      </c>
      <c r="K14" s="4">
        <f t="shared" si="5"/>
        <v>0</v>
      </c>
      <c r="L14" s="3" t="s">
        <v>27</v>
      </c>
      <c r="M14" s="5" t="s">
        <v>105</v>
      </c>
    </row>
    <row r="15">
      <c r="A15" s="3" t="s">
        <v>106</v>
      </c>
      <c r="B15" s="3" t="s">
        <v>107</v>
      </c>
      <c r="C15" s="4">
        <f t="shared" si="1"/>
        <v>0</v>
      </c>
      <c r="D15" s="3" t="s">
        <v>108</v>
      </c>
      <c r="E15" s="4">
        <f t="shared" si="2"/>
        <v>0</v>
      </c>
      <c r="F15" s="3" t="s">
        <v>109</v>
      </c>
      <c r="G15" s="4">
        <f t="shared" si="3"/>
        <v>0</v>
      </c>
      <c r="H15" s="3" t="s">
        <v>110</v>
      </c>
      <c r="I15" s="4">
        <f t="shared" si="4"/>
        <v>1</v>
      </c>
      <c r="J15" s="3" t="s">
        <v>111</v>
      </c>
      <c r="K15" s="4">
        <f t="shared" si="5"/>
        <v>0</v>
      </c>
      <c r="L15" s="3" t="s">
        <v>112</v>
      </c>
      <c r="M15" s="5" t="s">
        <v>113</v>
      </c>
    </row>
    <row r="16">
      <c r="A16" s="3" t="s">
        <v>114</v>
      </c>
      <c r="B16" s="3" t="s">
        <v>115</v>
      </c>
      <c r="C16" s="4">
        <f t="shared" si="1"/>
        <v>0</v>
      </c>
      <c r="D16" s="3" t="s">
        <v>116</v>
      </c>
      <c r="E16" s="4">
        <f t="shared" si="2"/>
        <v>0</v>
      </c>
      <c r="F16" s="3" t="s">
        <v>117</v>
      </c>
      <c r="G16" s="4">
        <f t="shared" si="3"/>
        <v>1</v>
      </c>
      <c r="H16" s="3" t="s">
        <v>118</v>
      </c>
      <c r="I16" s="4">
        <f t="shared" si="4"/>
        <v>0</v>
      </c>
      <c r="J16" s="3" t="s">
        <v>119</v>
      </c>
      <c r="K16" s="4">
        <f t="shared" si="5"/>
        <v>0</v>
      </c>
      <c r="L16" s="3" t="s">
        <v>19</v>
      </c>
      <c r="M16" s="5" t="s">
        <v>120</v>
      </c>
    </row>
    <row r="17">
      <c r="A17" s="3" t="s">
        <v>121</v>
      </c>
      <c r="B17" s="3" t="s">
        <v>122</v>
      </c>
      <c r="C17" s="4">
        <f t="shared" si="1"/>
        <v>0</v>
      </c>
      <c r="D17" s="3" t="s">
        <v>123</v>
      </c>
      <c r="E17" s="4">
        <f t="shared" si="2"/>
        <v>1</v>
      </c>
      <c r="F17" s="3" t="s">
        <v>124</v>
      </c>
      <c r="G17" s="4">
        <f t="shared" si="3"/>
        <v>0</v>
      </c>
      <c r="H17" s="3" t="s">
        <v>125</v>
      </c>
      <c r="I17" s="4">
        <f t="shared" si="4"/>
        <v>0</v>
      </c>
      <c r="J17" s="3" t="s">
        <v>126</v>
      </c>
      <c r="K17" s="4">
        <f t="shared" si="5"/>
        <v>0</v>
      </c>
      <c r="L17" s="3" t="s">
        <v>27</v>
      </c>
      <c r="M17" s="5" t="s">
        <v>127</v>
      </c>
    </row>
    <row r="18">
      <c r="A18" s="3" t="s">
        <v>128</v>
      </c>
      <c r="B18" s="3" t="s">
        <v>129</v>
      </c>
      <c r="C18" s="4">
        <f t="shared" si="1"/>
        <v>0</v>
      </c>
      <c r="D18" s="3" t="s">
        <v>130</v>
      </c>
      <c r="E18" s="4">
        <f t="shared" si="2"/>
        <v>0</v>
      </c>
      <c r="F18" s="3" t="s">
        <v>131</v>
      </c>
      <c r="G18" s="4">
        <f t="shared" si="3"/>
        <v>1</v>
      </c>
      <c r="H18" s="3" t="s">
        <v>132</v>
      </c>
      <c r="I18" s="4">
        <f t="shared" si="4"/>
        <v>0</v>
      </c>
      <c r="J18" s="3" t="s">
        <v>133</v>
      </c>
      <c r="K18" s="4">
        <f t="shared" si="5"/>
        <v>0</v>
      </c>
      <c r="L18" s="3" t="s">
        <v>19</v>
      </c>
      <c r="M18" s="5" t="s">
        <v>134</v>
      </c>
    </row>
    <row r="19">
      <c r="A19" s="3" t="s">
        <v>135</v>
      </c>
      <c r="B19" s="3" t="s">
        <v>136</v>
      </c>
      <c r="C19" s="4">
        <f t="shared" si="1"/>
        <v>1</v>
      </c>
      <c r="D19" s="3" t="s">
        <v>137</v>
      </c>
      <c r="E19" s="4">
        <f t="shared" si="2"/>
        <v>0</v>
      </c>
      <c r="F19" s="3" t="s">
        <v>33</v>
      </c>
      <c r="G19" s="4">
        <f t="shared" si="3"/>
        <v>0</v>
      </c>
      <c r="H19" s="3" t="s">
        <v>138</v>
      </c>
      <c r="I19" s="4">
        <f t="shared" si="4"/>
        <v>0</v>
      </c>
      <c r="J19" s="3" t="s">
        <v>34</v>
      </c>
      <c r="K19" s="4">
        <f t="shared" si="5"/>
        <v>0</v>
      </c>
      <c r="L19" s="3" t="s">
        <v>35</v>
      </c>
      <c r="M19" s="5" t="s">
        <v>139</v>
      </c>
    </row>
    <row r="20">
      <c r="A20" s="3" t="s">
        <v>140</v>
      </c>
      <c r="B20" s="3" t="s">
        <v>94</v>
      </c>
      <c r="C20" s="4">
        <f t="shared" si="1"/>
        <v>0</v>
      </c>
      <c r="D20" s="3" t="s">
        <v>141</v>
      </c>
      <c r="E20" s="4">
        <f t="shared" si="2"/>
        <v>0</v>
      </c>
      <c r="F20" s="3" t="s">
        <v>142</v>
      </c>
      <c r="G20" s="4">
        <f t="shared" si="3"/>
        <v>1</v>
      </c>
      <c r="H20" s="3" t="s">
        <v>97</v>
      </c>
      <c r="I20" s="4">
        <f t="shared" si="4"/>
        <v>0</v>
      </c>
      <c r="J20" s="3" t="s">
        <v>143</v>
      </c>
      <c r="K20" s="4">
        <f t="shared" si="5"/>
        <v>0</v>
      </c>
      <c r="L20" s="3" t="s">
        <v>19</v>
      </c>
      <c r="M20" s="5" t="s">
        <v>144</v>
      </c>
    </row>
    <row r="21">
      <c r="A21" s="3" t="s">
        <v>145</v>
      </c>
      <c r="B21" s="3" t="s">
        <v>146</v>
      </c>
      <c r="C21" s="4">
        <f t="shared" si="1"/>
        <v>0</v>
      </c>
      <c r="D21" s="3" t="s">
        <v>147</v>
      </c>
      <c r="E21" s="4">
        <f t="shared" si="2"/>
        <v>0</v>
      </c>
      <c r="F21" s="3" t="s">
        <v>148</v>
      </c>
      <c r="G21" s="4">
        <f t="shared" si="3"/>
        <v>1</v>
      </c>
      <c r="H21" s="3" t="s">
        <v>149</v>
      </c>
      <c r="I21" s="4">
        <f t="shared" si="4"/>
        <v>0</v>
      </c>
      <c r="J21" s="3" t="s">
        <v>150</v>
      </c>
      <c r="K21" s="4">
        <f t="shared" si="5"/>
        <v>0</v>
      </c>
      <c r="L21" s="3" t="s">
        <v>19</v>
      </c>
      <c r="M21" s="5" t="s">
        <v>151</v>
      </c>
    </row>
    <row r="22">
      <c r="A22" s="3" t="s">
        <v>152</v>
      </c>
      <c r="B22" s="3" t="s">
        <v>153</v>
      </c>
      <c r="C22" s="4">
        <f t="shared" si="1"/>
        <v>0</v>
      </c>
      <c r="D22" s="3" t="s">
        <v>154</v>
      </c>
      <c r="E22" s="4">
        <f t="shared" si="2"/>
        <v>0</v>
      </c>
      <c r="F22" s="3" t="s">
        <v>155</v>
      </c>
      <c r="G22" s="4">
        <f t="shared" si="3"/>
        <v>1</v>
      </c>
      <c r="H22" s="3" t="s">
        <v>156</v>
      </c>
      <c r="I22" s="4">
        <f t="shared" si="4"/>
        <v>0</v>
      </c>
      <c r="J22" s="3" t="s">
        <v>157</v>
      </c>
      <c r="K22" s="4">
        <f t="shared" si="5"/>
        <v>0</v>
      </c>
      <c r="L22" s="3" t="s">
        <v>19</v>
      </c>
      <c r="M22" s="5" t="s">
        <v>158</v>
      </c>
    </row>
    <row r="23">
      <c r="A23" s="3" t="s">
        <v>159</v>
      </c>
      <c r="B23" s="3" t="s">
        <v>160</v>
      </c>
      <c r="C23" s="4">
        <f t="shared" si="1"/>
        <v>1</v>
      </c>
      <c r="D23" s="3" t="s">
        <v>161</v>
      </c>
      <c r="E23" s="4">
        <f t="shared" si="2"/>
        <v>0</v>
      </c>
      <c r="F23" s="3" t="s">
        <v>162</v>
      </c>
      <c r="G23" s="4">
        <f t="shared" si="3"/>
        <v>0</v>
      </c>
      <c r="H23" s="3" t="s">
        <v>163</v>
      </c>
      <c r="I23" s="4">
        <f t="shared" si="4"/>
        <v>0</v>
      </c>
      <c r="J23" s="3" t="s">
        <v>164</v>
      </c>
      <c r="K23" s="4">
        <f t="shared" si="5"/>
        <v>0</v>
      </c>
      <c r="L23" s="3" t="s">
        <v>35</v>
      </c>
      <c r="M23" s="5" t="s">
        <v>165</v>
      </c>
    </row>
    <row r="24">
      <c r="A24" s="3" t="s">
        <v>166</v>
      </c>
      <c r="B24" s="3" t="s">
        <v>167</v>
      </c>
      <c r="C24" s="4">
        <f t="shared" si="1"/>
        <v>0</v>
      </c>
      <c r="D24" s="3" t="s">
        <v>168</v>
      </c>
      <c r="E24" s="4">
        <f t="shared" si="2"/>
        <v>1</v>
      </c>
      <c r="F24" s="3" t="s">
        <v>169</v>
      </c>
      <c r="G24" s="4">
        <f t="shared" si="3"/>
        <v>0</v>
      </c>
      <c r="H24" s="3" t="s">
        <v>170</v>
      </c>
      <c r="I24" s="4">
        <f t="shared" si="4"/>
        <v>0</v>
      </c>
      <c r="J24" s="3" t="s">
        <v>171</v>
      </c>
      <c r="K24" s="4">
        <f t="shared" si="5"/>
        <v>0</v>
      </c>
      <c r="L24" s="3" t="s">
        <v>27</v>
      </c>
      <c r="M24" s="5" t="s">
        <v>172</v>
      </c>
    </row>
    <row r="25">
      <c r="A25" s="3" t="s">
        <v>173</v>
      </c>
      <c r="B25" s="3" t="s">
        <v>174</v>
      </c>
      <c r="C25" s="4">
        <f t="shared" si="1"/>
        <v>0</v>
      </c>
      <c r="D25" s="3" t="s">
        <v>100</v>
      </c>
      <c r="E25" s="4">
        <f t="shared" si="2"/>
        <v>0</v>
      </c>
      <c r="F25" s="3" t="s">
        <v>175</v>
      </c>
      <c r="G25" s="4">
        <f t="shared" si="3"/>
        <v>1</v>
      </c>
      <c r="H25" s="3" t="s">
        <v>176</v>
      </c>
      <c r="I25" s="4">
        <f t="shared" si="4"/>
        <v>0</v>
      </c>
      <c r="J25" s="3" t="s">
        <v>177</v>
      </c>
      <c r="K25" s="4">
        <f t="shared" si="5"/>
        <v>0</v>
      </c>
      <c r="L25" s="3" t="s">
        <v>19</v>
      </c>
      <c r="M25" s="5" t="s">
        <v>178</v>
      </c>
    </row>
    <row r="26">
      <c r="A26" s="3" t="s">
        <v>179</v>
      </c>
      <c r="B26" s="3" t="s">
        <v>180</v>
      </c>
      <c r="C26" s="4">
        <f t="shared" si="1"/>
        <v>0</v>
      </c>
      <c r="D26" s="3" t="s">
        <v>181</v>
      </c>
      <c r="E26" s="4">
        <f t="shared" si="2"/>
        <v>1</v>
      </c>
      <c r="F26" s="3" t="s">
        <v>182</v>
      </c>
      <c r="G26" s="4">
        <f t="shared" si="3"/>
        <v>0</v>
      </c>
      <c r="H26" s="3" t="s">
        <v>138</v>
      </c>
      <c r="I26" s="4">
        <f t="shared" si="4"/>
        <v>0</v>
      </c>
      <c r="J26" s="3" t="s">
        <v>183</v>
      </c>
      <c r="K26" s="4">
        <f t="shared" si="5"/>
        <v>0</v>
      </c>
      <c r="L26" s="3" t="s">
        <v>27</v>
      </c>
      <c r="M26" s="5" t="s">
        <v>184</v>
      </c>
    </row>
    <row r="27">
      <c r="A27" s="3" t="s">
        <v>185</v>
      </c>
      <c r="B27" s="3" t="s">
        <v>60</v>
      </c>
      <c r="C27" s="4">
        <f t="shared" si="1"/>
        <v>0</v>
      </c>
      <c r="D27" s="3" t="s">
        <v>186</v>
      </c>
      <c r="E27" s="4">
        <f t="shared" si="2"/>
        <v>1</v>
      </c>
      <c r="F27" s="3" t="s">
        <v>187</v>
      </c>
      <c r="G27" s="4">
        <f t="shared" si="3"/>
        <v>0</v>
      </c>
      <c r="H27" s="3" t="s">
        <v>188</v>
      </c>
      <c r="I27" s="4">
        <f t="shared" si="4"/>
        <v>0</v>
      </c>
      <c r="J27" s="3" t="s">
        <v>189</v>
      </c>
      <c r="K27" s="4">
        <f t="shared" si="5"/>
        <v>0</v>
      </c>
      <c r="L27" s="3" t="s">
        <v>27</v>
      </c>
      <c r="M27" s="5" t="s">
        <v>190</v>
      </c>
    </row>
    <row r="28">
      <c r="A28" s="3" t="s">
        <v>191</v>
      </c>
      <c r="B28" s="3" t="s">
        <v>192</v>
      </c>
      <c r="C28" s="4">
        <f t="shared" si="1"/>
        <v>0</v>
      </c>
      <c r="D28" s="3" t="s">
        <v>193</v>
      </c>
      <c r="E28" s="4">
        <f t="shared" si="2"/>
        <v>1</v>
      </c>
      <c r="F28" s="3" t="s">
        <v>194</v>
      </c>
      <c r="G28" s="4">
        <f t="shared" si="3"/>
        <v>0</v>
      </c>
      <c r="H28" s="3" t="s">
        <v>195</v>
      </c>
      <c r="I28" s="4">
        <f t="shared" si="4"/>
        <v>0</v>
      </c>
      <c r="J28" s="3" t="s">
        <v>196</v>
      </c>
      <c r="K28" s="4">
        <f t="shared" si="5"/>
        <v>0</v>
      </c>
      <c r="L28" s="3" t="s">
        <v>27</v>
      </c>
      <c r="M28" s="5" t="s">
        <v>197</v>
      </c>
    </row>
    <row r="29">
      <c r="A29" s="3" t="s">
        <v>198</v>
      </c>
      <c r="B29" s="3" t="s">
        <v>199</v>
      </c>
      <c r="C29" s="4">
        <f t="shared" si="1"/>
        <v>0</v>
      </c>
      <c r="D29" s="3" t="s">
        <v>200</v>
      </c>
      <c r="E29" s="4">
        <f t="shared" si="2"/>
        <v>1</v>
      </c>
      <c r="F29" s="3" t="s">
        <v>201</v>
      </c>
      <c r="G29" s="4">
        <f t="shared" si="3"/>
        <v>0</v>
      </c>
      <c r="H29" s="3" t="s">
        <v>60</v>
      </c>
      <c r="I29" s="4">
        <f t="shared" si="4"/>
        <v>0</v>
      </c>
      <c r="J29" s="3" t="s">
        <v>202</v>
      </c>
      <c r="K29" s="4">
        <f t="shared" si="5"/>
        <v>0</v>
      </c>
      <c r="L29" s="3" t="s">
        <v>27</v>
      </c>
      <c r="M29" s="5" t="s">
        <v>203</v>
      </c>
    </row>
    <row r="30">
      <c r="A30" s="3" t="s">
        <v>204</v>
      </c>
      <c r="B30" s="3" t="s">
        <v>205</v>
      </c>
      <c r="C30" s="4">
        <f t="shared" si="1"/>
        <v>1</v>
      </c>
      <c r="D30" s="3" t="s">
        <v>206</v>
      </c>
      <c r="E30" s="4">
        <f t="shared" si="2"/>
        <v>0</v>
      </c>
      <c r="F30" s="3" t="s">
        <v>207</v>
      </c>
      <c r="G30" s="4">
        <f t="shared" si="3"/>
        <v>0</v>
      </c>
      <c r="H30" s="3" t="s">
        <v>208</v>
      </c>
      <c r="I30" s="4">
        <f t="shared" si="4"/>
        <v>0</v>
      </c>
      <c r="J30" s="3" t="s">
        <v>209</v>
      </c>
      <c r="K30" s="4">
        <f t="shared" si="5"/>
        <v>0</v>
      </c>
      <c r="L30" s="3" t="s">
        <v>35</v>
      </c>
      <c r="M30" s="5" t="s">
        <v>210</v>
      </c>
    </row>
    <row r="31">
      <c r="A31" s="3" t="s">
        <v>211</v>
      </c>
      <c r="B31" s="3" t="s">
        <v>212</v>
      </c>
      <c r="C31" s="4">
        <f t="shared" si="1"/>
        <v>0</v>
      </c>
      <c r="D31" s="3" t="s">
        <v>213</v>
      </c>
      <c r="E31" s="4">
        <f t="shared" si="2"/>
        <v>1</v>
      </c>
      <c r="F31" s="3" t="s">
        <v>54</v>
      </c>
      <c r="G31" s="4">
        <f t="shared" si="3"/>
        <v>0</v>
      </c>
      <c r="H31" s="3" t="s">
        <v>214</v>
      </c>
      <c r="I31" s="4">
        <f t="shared" si="4"/>
        <v>0</v>
      </c>
      <c r="J31" s="3" t="s">
        <v>52</v>
      </c>
      <c r="K31" s="4">
        <f t="shared" si="5"/>
        <v>0</v>
      </c>
      <c r="L31" s="3" t="s">
        <v>27</v>
      </c>
      <c r="M31" s="5" t="s">
        <v>215</v>
      </c>
    </row>
    <row r="32">
      <c r="A32" s="3" t="s">
        <v>216</v>
      </c>
      <c r="B32" s="3" t="s">
        <v>217</v>
      </c>
      <c r="C32" s="4">
        <f t="shared" si="1"/>
        <v>0</v>
      </c>
      <c r="D32" s="3" t="s">
        <v>218</v>
      </c>
      <c r="E32" s="4">
        <f t="shared" si="2"/>
        <v>1</v>
      </c>
      <c r="F32" s="3" t="s">
        <v>219</v>
      </c>
      <c r="G32" s="4">
        <f t="shared" si="3"/>
        <v>0</v>
      </c>
      <c r="H32" s="3" t="s">
        <v>220</v>
      </c>
      <c r="I32" s="4">
        <f t="shared" si="4"/>
        <v>0</v>
      </c>
      <c r="J32" s="3" t="s">
        <v>221</v>
      </c>
      <c r="K32" s="4">
        <f t="shared" si="5"/>
        <v>0</v>
      </c>
      <c r="L32" s="3" t="s">
        <v>27</v>
      </c>
      <c r="M32" s="5" t="s">
        <v>222</v>
      </c>
    </row>
    <row r="33">
      <c r="A33" s="3" t="s">
        <v>223</v>
      </c>
      <c r="B33" s="3" t="s">
        <v>224</v>
      </c>
      <c r="C33" s="4">
        <f t="shared" si="1"/>
        <v>0</v>
      </c>
      <c r="D33" s="3" t="s">
        <v>225</v>
      </c>
      <c r="E33" s="4">
        <f t="shared" si="2"/>
        <v>1</v>
      </c>
      <c r="F33" s="3" t="s">
        <v>54</v>
      </c>
      <c r="G33" s="4">
        <f t="shared" si="3"/>
        <v>0</v>
      </c>
      <c r="H33" s="3" t="s">
        <v>226</v>
      </c>
      <c r="I33" s="4">
        <f t="shared" si="4"/>
        <v>0</v>
      </c>
      <c r="J33" s="3" t="s">
        <v>227</v>
      </c>
      <c r="K33" s="4">
        <f t="shared" si="5"/>
        <v>0</v>
      </c>
      <c r="L33" s="3" t="s">
        <v>27</v>
      </c>
      <c r="M33" s="5" t="s">
        <v>228</v>
      </c>
    </row>
    <row r="34">
      <c r="A34" s="3" t="s">
        <v>229</v>
      </c>
      <c r="B34" s="3" t="s">
        <v>230</v>
      </c>
      <c r="C34" s="4">
        <f t="shared" si="1"/>
        <v>0</v>
      </c>
      <c r="D34" s="3" t="s">
        <v>231</v>
      </c>
      <c r="E34" s="4">
        <f t="shared" si="2"/>
        <v>1</v>
      </c>
      <c r="F34" s="3" t="s">
        <v>232</v>
      </c>
      <c r="G34" s="4">
        <f t="shared" si="3"/>
        <v>0</v>
      </c>
      <c r="H34" s="3" t="s">
        <v>233</v>
      </c>
      <c r="I34" s="4">
        <f t="shared" si="4"/>
        <v>0</v>
      </c>
      <c r="J34" s="3" t="s">
        <v>234</v>
      </c>
      <c r="K34" s="4">
        <f t="shared" si="5"/>
        <v>0</v>
      </c>
      <c r="L34" s="3" t="s">
        <v>27</v>
      </c>
      <c r="M34" s="5" t="s">
        <v>235</v>
      </c>
    </row>
    <row r="35">
      <c r="A35" s="3" t="s">
        <v>236</v>
      </c>
      <c r="B35" s="3" t="s">
        <v>237</v>
      </c>
      <c r="C35" s="4">
        <f t="shared" si="1"/>
        <v>0</v>
      </c>
      <c r="D35" s="3" t="s">
        <v>238</v>
      </c>
      <c r="E35" s="4">
        <f t="shared" si="2"/>
        <v>1</v>
      </c>
      <c r="F35" s="3" t="s">
        <v>239</v>
      </c>
      <c r="G35" s="4">
        <f t="shared" si="3"/>
        <v>0</v>
      </c>
      <c r="H35" s="3" t="s">
        <v>240</v>
      </c>
      <c r="I35" s="4">
        <f t="shared" si="4"/>
        <v>0</v>
      </c>
      <c r="J35" s="3" t="s">
        <v>241</v>
      </c>
      <c r="K35" s="4">
        <f t="shared" si="5"/>
        <v>0</v>
      </c>
      <c r="L35" s="3" t="s">
        <v>27</v>
      </c>
      <c r="M35" s="5" t="s">
        <v>242</v>
      </c>
    </row>
    <row r="36">
      <c r="A36" s="3" t="s">
        <v>243</v>
      </c>
      <c r="B36" s="3" t="s">
        <v>244</v>
      </c>
      <c r="C36" s="4">
        <f t="shared" si="1"/>
        <v>0</v>
      </c>
      <c r="D36" s="3" t="s">
        <v>245</v>
      </c>
      <c r="E36" s="4">
        <f t="shared" si="2"/>
        <v>1</v>
      </c>
      <c r="F36" s="3" t="s">
        <v>246</v>
      </c>
      <c r="G36" s="4">
        <f t="shared" si="3"/>
        <v>0</v>
      </c>
      <c r="H36" s="3" t="s">
        <v>247</v>
      </c>
      <c r="I36" s="4">
        <f t="shared" si="4"/>
        <v>0</v>
      </c>
      <c r="J36" s="3" t="s">
        <v>248</v>
      </c>
      <c r="K36" s="4">
        <f t="shared" si="5"/>
        <v>0</v>
      </c>
      <c r="L36" s="3" t="s">
        <v>27</v>
      </c>
      <c r="M36" s="5" t="s">
        <v>249</v>
      </c>
    </row>
    <row r="37">
      <c r="A37" s="3" t="s">
        <v>250</v>
      </c>
      <c r="B37" s="3" t="s">
        <v>251</v>
      </c>
      <c r="C37" s="4">
        <f t="shared" si="1"/>
        <v>1</v>
      </c>
      <c r="D37" s="3" t="s">
        <v>252</v>
      </c>
      <c r="E37" s="4">
        <f t="shared" si="2"/>
        <v>0</v>
      </c>
      <c r="F37" s="3" t="s">
        <v>253</v>
      </c>
      <c r="G37" s="4">
        <f t="shared" si="3"/>
        <v>0</v>
      </c>
      <c r="H37" s="3" t="s">
        <v>254</v>
      </c>
      <c r="I37" s="4">
        <f t="shared" si="4"/>
        <v>0</v>
      </c>
      <c r="J37" s="3" t="s">
        <v>255</v>
      </c>
      <c r="K37" s="4">
        <f t="shared" si="5"/>
        <v>0</v>
      </c>
      <c r="L37" s="3" t="s">
        <v>35</v>
      </c>
      <c r="M37" s="5" t="s">
        <v>256</v>
      </c>
    </row>
    <row r="38">
      <c r="A38" s="3" t="s">
        <v>257</v>
      </c>
      <c r="B38" s="3" t="s">
        <v>258</v>
      </c>
      <c r="C38" s="4">
        <f t="shared" si="1"/>
        <v>1</v>
      </c>
      <c r="D38" s="3" t="s">
        <v>259</v>
      </c>
      <c r="E38" s="4">
        <f t="shared" si="2"/>
        <v>0</v>
      </c>
      <c r="F38" s="3" t="s">
        <v>74</v>
      </c>
      <c r="G38" s="4">
        <f t="shared" si="3"/>
        <v>0</v>
      </c>
      <c r="H38" s="3" t="s">
        <v>75</v>
      </c>
      <c r="I38" s="4">
        <f t="shared" si="4"/>
        <v>0</v>
      </c>
      <c r="J38" s="3" t="s">
        <v>260</v>
      </c>
      <c r="K38" s="4">
        <f t="shared" si="5"/>
        <v>0</v>
      </c>
      <c r="L38" s="3" t="s">
        <v>35</v>
      </c>
      <c r="M38" s="5" t="s">
        <v>261</v>
      </c>
    </row>
    <row r="39">
      <c r="A39" s="3" t="s">
        <v>262</v>
      </c>
      <c r="B39" s="3" t="s">
        <v>263</v>
      </c>
      <c r="C39" s="4">
        <f t="shared" si="1"/>
        <v>0</v>
      </c>
      <c r="D39" s="3" t="s">
        <v>264</v>
      </c>
      <c r="E39" s="4">
        <f t="shared" si="2"/>
        <v>1</v>
      </c>
      <c r="F39" s="3" t="s">
        <v>265</v>
      </c>
      <c r="G39" s="4">
        <f t="shared" si="3"/>
        <v>0</v>
      </c>
      <c r="H39" s="3" t="s">
        <v>266</v>
      </c>
      <c r="I39" s="4">
        <f t="shared" si="4"/>
        <v>0</v>
      </c>
      <c r="J39" s="3" t="s">
        <v>267</v>
      </c>
      <c r="K39" s="4">
        <f t="shared" si="5"/>
        <v>0</v>
      </c>
      <c r="L39" s="3" t="s">
        <v>27</v>
      </c>
      <c r="M39" s="5" t="s">
        <v>268</v>
      </c>
    </row>
    <row r="40">
      <c r="A40" s="3" t="s">
        <v>269</v>
      </c>
      <c r="B40" s="3" t="s">
        <v>270</v>
      </c>
      <c r="C40" s="4">
        <f t="shared" si="1"/>
        <v>1</v>
      </c>
      <c r="D40" s="3" t="s">
        <v>271</v>
      </c>
      <c r="E40" s="4">
        <f t="shared" si="2"/>
        <v>0</v>
      </c>
      <c r="F40" s="3" t="s">
        <v>272</v>
      </c>
      <c r="G40" s="4">
        <f t="shared" si="3"/>
        <v>0</v>
      </c>
      <c r="H40" s="3" t="s">
        <v>273</v>
      </c>
      <c r="I40" s="4">
        <f t="shared" si="4"/>
        <v>0</v>
      </c>
      <c r="J40" s="3" t="s">
        <v>274</v>
      </c>
      <c r="K40" s="4">
        <f t="shared" si="5"/>
        <v>0</v>
      </c>
      <c r="L40" s="3" t="s">
        <v>35</v>
      </c>
      <c r="M40" s="5" t="s">
        <v>275</v>
      </c>
    </row>
    <row r="41">
      <c r="A41" s="3" t="s">
        <v>276</v>
      </c>
      <c r="B41" s="3" t="s">
        <v>277</v>
      </c>
      <c r="C41" s="4">
        <f t="shared" si="1"/>
        <v>1</v>
      </c>
      <c r="D41" s="3" t="s">
        <v>278</v>
      </c>
      <c r="E41" s="4">
        <f t="shared" si="2"/>
        <v>0</v>
      </c>
      <c r="F41" s="3" t="s">
        <v>279</v>
      </c>
      <c r="G41" s="4">
        <f t="shared" si="3"/>
        <v>0</v>
      </c>
      <c r="H41" s="3" t="s">
        <v>280</v>
      </c>
      <c r="I41" s="4">
        <f t="shared" si="4"/>
        <v>0</v>
      </c>
      <c r="J41" s="3" t="s">
        <v>281</v>
      </c>
      <c r="K41" s="4">
        <f t="shared" si="5"/>
        <v>0</v>
      </c>
      <c r="L41" s="3" t="s">
        <v>35</v>
      </c>
      <c r="M41" s="5" t="s">
        <v>282</v>
      </c>
    </row>
    <row r="42">
      <c r="A42" s="3" t="s">
        <v>283</v>
      </c>
      <c r="B42" s="3" t="s">
        <v>220</v>
      </c>
      <c r="C42" s="4">
        <f t="shared" si="1"/>
        <v>0</v>
      </c>
      <c r="D42" s="3" t="s">
        <v>218</v>
      </c>
      <c r="E42" s="4">
        <f t="shared" si="2"/>
        <v>0</v>
      </c>
      <c r="F42" s="3" t="s">
        <v>217</v>
      </c>
      <c r="G42" s="4">
        <f t="shared" si="3"/>
        <v>0</v>
      </c>
      <c r="H42" s="3" t="s">
        <v>284</v>
      </c>
      <c r="I42" s="4">
        <f t="shared" si="4"/>
        <v>1</v>
      </c>
      <c r="J42" s="3" t="s">
        <v>219</v>
      </c>
      <c r="K42" s="4">
        <f t="shared" si="5"/>
        <v>0</v>
      </c>
      <c r="L42" s="3" t="s">
        <v>112</v>
      </c>
      <c r="M42" s="5" t="s">
        <v>285</v>
      </c>
    </row>
    <row r="43">
      <c r="A43" s="3" t="s">
        <v>286</v>
      </c>
      <c r="B43" s="3" t="s">
        <v>287</v>
      </c>
      <c r="C43" s="4">
        <f t="shared" si="1"/>
        <v>1</v>
      </c>
      <c r="D43" s="3" t="s">
        <v>224</v>
      </c>
      <c r="E43" s="4">
        <f t="shared" si="2"/>
        <v>0</v>
      </c>
      <c r="F43" s="3" t="s">
        <v>54</v>
      </c>
      <c r="G43" s="4">
        <f t="shared" si="3"/>
        <v>0</v>
      </c>
      <c r="H43" s="3" t="s">
        <v>226</v>
      </c>
      <c r="I43" s="4">
        <f t="shared" si="4"/>
        <v>0</v>
      </c>
      <c r="J43" s="3" t="s">
        <v>227</v>
      </c>
      <c r="K43" s="4">
        <f t="shared" si="5"/>
        <v>0</v>
      </c>
      <c r="L43" s="3" t="s">
        <v>35</v>
      </c>
      <c r="M43" s="5" t="s">
        <v>288</v>
      </c>
    </row>
    <row r="44">
      <c r="A44" s="3" t="s">
        <v>289</v>
      </c>
      <c r="B44" s="3" t="s">
        <v>290</v>
      </c>
      <c r="C44" s="4">
        <f t="shared" si="1"/>
        <v>1</v>
      </c>
      <c r="D44" s="3" t="s">
        <v>291</v>
      </c>
      <c r="E44" s="4">
        <f t="shared" si="2"/>
        <v>0</v>
      </c>
      <c r="F44" s="3" t="s">
        <v>292</v>
      </c>
      <c r="G44" s="4">
        <f t="shared" si="3"/>
        <v>0</v>
      </c>
      <c r="H44" s="3" t="s">
        <v>293</v>
      </c>
      <c r="I44" s="4">
        <f t="shared" si="4"/>
        <v>0</v>
      </c>
      <c r="J44" s="3" t="s">
        <v>294</v>
      </c>
      <c r="K44" s="4">
        <f t="shared" si="5"/>
        <v>0</v>
      </c>
      <c r="L44" s="3" t="s">
        <v>35</v>
      </c>
      <c r="M44" s="5" t="s">
        <v>295</v>
      </c>
    </row>
    <row r="45">
      <c r="A45" s="3" t="s">
        <v>296</v>
      </c>
      <c r="B45" s="3" t="s">
        <v>297</v>
      </c>
      <c r="C45" s="4">
        <f t="shared" si="1"/>
        <v>0</v>
      </c>
      <c r="D45" s="3" t="s">
        <v>298</v>
      </c>
      <c r="E45" s="4">
        <f t="shared" si="2"/>
        <v>1</v>
      </c>
      <c r="F45" s="3" t="s">
        <v>299</v>
      </c>
      <c r="G45" s="4">
        <f t="shared" si="3"/>
        <v>0</v>
      </c>
      <c r="H45" s="3" t="s">
        <v>300</v>
      </c>
      <c r="I45" s="4">
        <f t="shared" si="4"/>
        <v>0</v>
      </c>
      <c r="J45" s="3" t="s">
        <v>267</v>
      </c>
      <c r="K45" s="4">
        <f t="shared" si="5"/>
        <v>0</v>
      </c>
      <c r="L45" s="3" t="s">
        <v>27</v>
      </c>
      <c r="M45" s="5" t="s">
        <v>301</v>
      </c>
    </row>
    <row r="46">
      <c r="A46" s="3" t="s">
        <v>302</v>
      </c>
      <c r="B46" s="3" t="s">
        <v>303</v>
      </c>
      <c r="C46" s="4">
        <f t="shared" si="1"/>
        <v>0</v>
      </c>
      <c r="D46" s="3" t="s">
        <v>304</v>
      </c>
      <c r="E46" s="4">
        <f t="shared" si="2"/>
        <v>0</v>
      </c>
      <c r="F46" s="3" t="s">
        <v>305</v>
      </c>
      <c r="G46" s="4">
        <f t="shared" si="3"/>
        <v>1</v>
      </c>
      <c r="H46" s="3" t="s">
        <v>306</v>
      </c>
      <c r="I46" s="4">
        <f t="shared" si="4"/>
        <v>0</v>
      </c>
      <c r="J46" s="3" t="s">
        <v>307</v>
      </c>
      <c r="K46" s="4">
        <f t="shared" si="5"/>
        <v>0</v>
      </c>
      <c r="L46" s="3" t="s">
        <v>19</v>
      </c>
      <c r="M46" s="5" t="s">
        <v>308</v>
      </c>
    </row>
    <row r="47">
      <c r="A47" s="3" t="s">
        <v>309</v>
      </c>
      <c r="B47" s="3" t="s">
        <v>310</v>
      </c>
      <c r="C47" s="4">
        <f t="shared" si="1"/>
        <v>1</v>
      </c>
      <c r="D47" s="3" t="s">
        <v>74</v>
      </c>
      <c r="E47" s="4">
        <f t="shared" si="2"/>
        <v>0</v>
      </c>
      <c r="F47" s="3" t="s">
        <v>259</v>
      </c>
      <c r="G47" s="4">
        <f t="shared" si="3"/>
        <v>0</v>
      </c>
      <c r="H47" s="3" t="s">
        <v>75</v>
      </c>
      <c r="I47" s="4">
        <f t="shared" si="4"/>
        <v>0</v>
      </c>
      <c r="J47" s="3" t="s">
        <v>260</v>
      </c>
      <c r="K47" s="4">
        <f t="shared" si="5"/>
        <v>0</v>
      </c>
      <c r="L47" s="3" t="s">
        <v>35</v>
      </c>
      <c r="M47" s="5" t="s">
        <v>311</v>
      </c>
    </row>
    <row r="48">
      <c r="A48" s="3" t="s">
        <v>312</v>
      </c>
      <c r="B48" s="3" t="s">
        <v>300</v>
      </c>
      <c r="C48" s="4">
        <f t="shared" si="1"/>
        <v>0</v>
      </c>
      <c r="D48" s="3" t="s">
        <v>313</v>
      </c>
      <c r="E48" s="4">
        <f t="shared" si="2"/>
        <v>1</v>
      </c>
      <c r="F48" s="3" t="s">
        <v>299</v>
      </c>
      <c r="G48" s="4">
        <f t="shared" si="3"/>
        <v>0</v>
      </c>
      <c r="H48" s="3" t="s">
        <v>314</v>
      </c>
      <c r="I48" s="4">
        <f t="shared" si="4"/>
        <v>0</v>
      </c>
      <c r="J48" s="3" t="s">
        <v>267</v>
      </c>
      <c r="K48" s="4">
        <f t="shared" si="5"/>
        <v>0</v>
      </c>
      <c r="L48" s="3" t="s">
        <v>27</v>
      </c>
      <c r="M48" s="5" t="s">
        <v>315</v>
      </c>
    </row>
    <row r="49">
      <c r="A49" s="3" t="s">
        <v>316</v>
      </c>
      <c r="B49" s="3" t="s">
        <v>226</v>
      </c>
      <c r="C49" s="4">
        <f t="shared" si="1"/>
        <v>0</v>
      </c>
      <c r="D49" s="3" t="s">
        <v>317</v>
      </c>
      <c r="E49" s="4">
        <f t="shared" si="2"/>
        <v>1</v>
      </c>
      <c r="F49" s="3" t="s">
        <v>54</v>
      </c>
      <c r="G49" s="4">
        <f t="shared" si="3"/>
        <v>0</v>
      </c>
      <c r="H49" s="3" t="s">
        <v>224</v>
      </c>
      <c r="I49" s="4">
        <f t="shared" si="4"/>
        <v>0</v>
      </c>
      <c r="J49" s="3" t="s">
        <v>227</v>
      </c>
      <c r="K49" s="4">
        <f t="shared" si="5"/>
        <v>0</v>
      </c>
      <c r="L49" s="3" t="s">
        <v>27</v>
      </c>
      <c r="M49" s="5" t="s">
        <v>318</v>
      </c>
    </row>
    <row r="50">
      <c r="A50" s="3" t="s">
        <v>319</v>
      </c>
      <c r="B50" s="3" t="s">
        <v>320</v>
      </c>
      <c r="C50" s="4">
        <f t="shared" si="1"/>
        <v>1</v>
      </c>
      <c r="D50" s="3" t="s">
        <v>278</v>
      </c>
      <c r="E50" s="4">
        <f t="shared" si="2"/>
        <v>0</v>
      </c>
      <c r="F50" s="3" t="s">
        <v>279</v>
      </c>
      <c r="G50" s="4">
        <f t="shared" si="3"/>
        <v>0</v>
      </c>
      <c r="H50" s="3" t="s">
        <v>280</v>
      </c>
      <c r="I50" s="4">
        <f t="shared" si="4"/>
        <v>0</v>
      </c>
      <c r="J50" s="3" t="s">
        <v>281</v>
      </c>
      <c r="K50" s="4">
        <f t="shared" si="5"/>
        <v>0</v>
      </c>
      <c r="L50" s="3" t="s">
        <v>35</v>
      </c>
      <c r="M50" s="5" t="s">
        <v>321</v>
      </c>
    </row>
    <row r="51">
      <c r="A51" s="3" t="s">
        <v>322</v>
      </c>
      <c r="B51" s="3" t="s">
        <v>323</v>
      </c>
      <c r="C51" s="4">
        <f t="shared" si="1"/>
        <v>1</v>
      </c>
      <c r="D51" s="3" t="s">
        <v>260</v>
      </c>
      <c r="E51" s="4">
        <f t="shared" si="2"/>
        <v>0</v>
      </c>
      <c r="F51" s="3" t="s">
        <v>74</v>
      </c>
      <c r="G51" s="4">
        <f t="shared" si="3"/>
        <v>0</v>
      </c>
      <c r="H51" s="3" t="s">
        <v>75</v>
      </c>
      <c r="I51" s="4">
        <f t="shared" si="4"/>
        <v>0</v>
      </c>
      <c r="J51" s="3" t="s">
        <v>324</v>
      </c>
      <c r="K51" s="4">
        <f t="shared" si="5"/>
        <v>0</v>
      </c>
      <c r="L51" s="3" t="s">
        <v>35</v>
      </c>
      <c r="M51" s="5" t="s">
        <v>325</v>
      </c>
    </row>
    <row r="52">
      <c r="A52" s="3" t="s">
        <v>326</v>
      </c>
      <c r="B52" s="3" t="s">
        <v>327</v>
      </c>
      <c r="C52" s="4">
        <f t="shared" si="1"/>
        <v>1</v>
      </c>
      <c r="D52" s="3" t="s">
        <v>54</v>
      </c>
      <c r="E52" s="4">
        <f t="shared" si="2"/>
        <v>0</v>
      </c>
      <c r="F52" s="3" t="s">
        <v>226</v>
      </c>
      <c r="G52" s="4">
        <f t="shared" si="3"/>
        <v>0</v>
      </c>
      <c r="H52" s="3" t="s">
        <v>224</v>
      </c>
      <c r="I52" s="4">
        <f t="shared" si="4"/>
        <v>0</v>
      </c>
      <c r="J52" s="3" t="s">
        <v>227</v>
      </c>
      <c r="K52" s="4">
        <f t="shared" si="5"/>
        <v>0</v>
      </c>
      <c r="L52" s="3" t="s">
        <v>35</v>
      </c>
      <c r="M52" s="5" t="s">
        <v>328</v>
      </c>
    </row>
    <row r="53">
      <c r="A53" s="3" t="s">
        <v>329</v>
      </c>
      <c r="B53" s="3" t="s">
        <v>221</v>
      </c>
      <c r="C53" s="4">
        <f t="shared" si="1"/>
        <v>0</v>
      </c>
      <c r="D53" s="3" t="s">
        <v>217</v>
      </c>
      <c r="E53" s="4">
        <f t="shared" si="2"/>
        <v>0</v>
      </c>
      <c r="F53" s="3" t="s">
        <v>218</v>
      </c>
      <c r="G53" s="4">
        <f t="shared" si="3"/>
        <v>0</v>
      </c>
      <c r="H53" s="3" t="s">
        <v>284</v>
      </c>
      <c r="I53" s="4">
        <f t="shared" si="4"/>
        <v>1</v>
      </c>
      <c r="J53" s="3" t="s">
        <v>220</v>
      </c>
      <c r="K53" s="4">
        <f t="shared" si="5"/>
        <v>0</v>
      </c>
      <c r="L53" s="3" t="s">
        <v>112</v>
      </c>
      <c r="M53" s="5" t="s">
        <v>330</v>
      </c>
    </row>
    <row r="54">
      <c r="A54" s="3" t="s">
        <v>331</v>
      </c>
      <c r="B54" s="3" t="s">
        <v>332</v>
      </c>
      <c r="C54" s="4">
        <f t="shared" si="1"/>
        <v>1</v>
      </c>
      <c r="D54" s="3" t="s">
        <v>333</v>
      </c>
      <c r="E54" s="4">
        <f t="shared" si="2"/>
        <v>0</v>
      </c>
      <c r="F54" s="3" t="s">
        <v>334</v>
      </c>
      <c r="G54" s="4">
        <f t="shared" si="3"/>
        <v>0</v>
      </c>
      <c r="H54" s="3" t="s">
        <v>335</v>
      </c>
      <c r="I54" s="4">
        <f t="shared" si="4"/>
        <v>0</v>
      </c>
      <c r="J54" s="3" t="s">
        <v>336</v>
      </c>
      <c r="K54" s="4">
        <f t="shared" si="5"/>
        <v>0</v>
      </c>
      <c r="L54" s="3" t="s">
        <v>35</v>
      </c>
      <c r="M54" s="5" t="s">
        <v>337</v>
      </c>
    </row>
    <row r="55">
      <c r="A55" s="3" t="s">
        <v>338</v>
      </c>
      <c r="B55" s="3" t="s">
        <v>339</v>
      </c>
      <c r="C55" s="4">
        <f t="shared" si="1"/>
        <v>0</v>
      </c>
      <c r="D55" s="3" t="s">
        <v>340</v>
      </c>
      <c r="E55" s="4">
        <f t="shared" si="2"/>
        <v>1</v>
      </c>
      <c r="F55" s="3" t="s">
        <v>341</v>
      </c>
      <c r="G55" s="4">
        <f t="shared" si="3"/>
        <v>0</v>
      </c>
      <c r="H55" s="3" t="s">
        <v>342</v>
      </c>
      <c r="I55" s="4">
        <f t="shared" si="4"/>
        <v>0</v>
      </c>
      <c r="J55" s="3" t="s">
        <v>343</v>
      </c>
      <c r="K55" s="4">
        <f t="shared" si="5"/>
        <v>0</v>
      </c>
      <c r="L55" s="3" t="s">
        <v>27</v>
      </c>
      <c r="M55" s="5" t="s">
        <v>344</v>
      </c>
    </row>
    <row r="56">
      <c r="A56" s="3" t="s">
        <v>345</v>
      </c>
      <c r="B56" s="3" t="s">
        <v>320</v>
      </c>
      <c r="C56" s="4">
        <f t="shared" si="1"/>
        <v>1</v>
      </c>
      <c r="D56" s="3" t="s">
        <v>278</v>
      </c>
      <c r="E56" s="4">
        <f t="shared" si="2"/>
        <v>0</v>
      </c>
      <c r="F56" s="3" t="s">
        <v>279</v>
      </c>
      <c r="G56" s="4">
        <f t="shared" si="3"/>
        <v>0</v>
      </c>
      <c r="H56" s="3" t="s">
        <v>280</v>
      </c>
      <c r="I56" s="4">
        <f t="shared" si="4"/>
        <v>0</v>
      </c>
      <c r="J56" s="3" t="s">
        <v>281</v>
      </c>
      <c r="K56" s="4">
        <f t="shared" si="5"/>
        <v>0</v>
      </c>
      <c r="L56" s="3" t="s">
        <v>35</v>
      </c>
      <c r="M56" s="5" t="s">
        <v>346</v>
      </c>
    </row>
    <row r="57">
      <c r="A57" s="3" t="s">
        <v>347</v>
      </c>
      <c r="B57" s="3" t="s">
        <v>348</v>
      </c>
      <c r="C57" s="4">
        <f t="shared" si="1"/>
        <v>1</v>
      </c>
      <c r="D57" s="3" t="s">
        <v>349</v>
      </c>
      <c r="E57" s="4">
        <f t="shared" si="2"/>
        <v>0</v>
      </c>
      <c r="F57" s="3" t="s">
        <v>350</v>
      </c>
      <c r="G57" s="4">
        <f t="shared" si="3"/>
        <v>0</v>
      </c>
      <c r="H57" s="3" t="s">
        <v>351</v>
      </c>
      <c r="I57" s="4">
        <f t="shared" si="4"/>
        <v>0</v>
      </c>
      <c r="J57" s="3" t="s">
        <v>352</v>
      </c>
      <c r="K57" s="4">
        <f t="shared" si="5"/>
        <v>0</v>
      </c>
      <c r="L57" s="3" t="s">
        <v>35</v>
      </c>
      <c r="M57" s="5" t="s">
        <v>353</v>
      </c>
    </row>
    <row r="58">
      <c r="A58" s="3" t="s">
        <v>354</v>
      </c>
      <c r="B58" s="3" t="s">
        <v>355</v>
      </c>
      <c r="C58" s="4">
        <f t="shared" si="1"/>
        <v>1</v>
      </c>
      <c r="D58" s="3" t="s">
        <v>74</v>
      </c>
      <c r="E58" s="4">
        <f t="shared" si="2"/>
        <v>0</v>
      </c>
      <c r="F58" s="3" t="s">
        <v>259</v>
      </c>
      <c r="G58" s="4">
        <f t="shared" si="3"/>
        <v>0</v>
      </c>
      <c r="H58" s="3" t="s">
        <v>75</v>
      </c>
      <c r="I58" s="4">
        <f t="shared" si="4"/>
        <v>0</v>
      </c>
      <c r="J58" s="3" t="s">
        <v>260</v>
      </c>
      <c r="K58" s="4">
        <f t="shared" si="5"/>
        <v>0</v>
      </c>
      <c r="L58" s="3" t="s">
        <v>35</v>
      </c>
      <c r="M58" s="5" t="s">
        <v>356</v>
      </c>
    </row>
    <row r="59">
      <c r="A59" s="3" t="s">
        <v>357</v>
      </c>
      <c r="B59" s="3" t="s">
        <v>226</v>
      </c>
      <c r="C59" s="4">
        <f t="shared" si="1"/>
        <v>0</v>
      </c>
      <c r="D59" s="3" t="s">
        <v>358</v>
      </c>
      <c r="E59" s="4">
        <f t="shared" si="2"/>
        <v>1</v>
      </c>
      <c r="F59" s="3" t="s">
        <v>54</v>
      </c>
      <c r="G59" s="4">
        <f t="shared" si="3"/>
        <v>0</v>
      </c>
      <c r="H59" s="3" t="s">
        <v>224</v>
      </c>
      <c r="I59" s="4">
        <f t="shared" si="4"/>
        <v>0</v>
      </c>
      <c r="J59" s="3" t="s">
        <v>227</v>
      </c>
      <c r="K59" s="4">
        <f t="shared" si="5"/>
        <v>0</v>
      </c>
      <c r="L59" s="3" t="s">
        <v>27</v>
      </c>
      <c r="M59" s="5" t="s">
        <v>359</v>
      </c>
    </row>
    <row r="60">
      <c r="A60" s="3" t="s">
        <v>360</v>
      </c>
      <c r="B60" s="3" t="s">
        <v>361</v>
      </c>
      <c r="C60" s="4">
        <f t="shared" si="1"/>
        <v>1</v>
      </c>
      <c r="D60" s="3" t="s">
        <v>278</v>
      </c>
      <c r="E60" s="4">
        <f t="shared" si="2"/>
        <v>0</v>
      </c>
      <c r="F60" s="3" t="s">
        <v>279</v>
      </c>
      <c r="G60" s="4">
        <f t="shared" si="3"/>
        <v>0</v>
      </c>
      <c r="H60" s="3" t="s">
        <v>280</v>
      </c>
      <c r="I60" s="4">
        <f t="shared" si="4"/>
        <v>0</v>
      </c>
      <c r="J60" s="3" t="s">
        <v>281</v>
      </c>
      <c r="K60" s="4">
        <f t="shared" si="5"/>
        <v>0</v>
      </c>
      <c r="L60" s="3" t="s">
        <v>35</v>
      </c>
      <c r="M60" s="5" t="s">
        <v>362</v>
      </c>
    </row>
    <row r="61">
      <c r="A61" s="3" t="s">
        <v>363</v>
      </c>
      <c r="B61" s="3" t="s">
        <v>364</v>
      </c>
      <c r="C61" s="4">
        <f t="shared" si="1"/>
        <v>0</v>
      </c>
      <c r="D61" s="3" t="s">
        <v>365</v>
      </c>
      <c r="E61" s="4">
        <f t="shared" si="2"/>
        <v>0</v>
      </c>
      <c r="F61" s="3" t="s">
        <v>366</v>
      </c>
      <c r="G61" s="4">
        <f t="shared" si="3"/>
        <v>1</v>
      </c>
      <c r="H61" s="3" t="s">
        <v>17</v>
      </c>
      <c r="I61" s="4">
        <f t="shared" si="4"/>
        <v>0</v>
      </c>
      <c r="J61" s="3" t="s">
        <v>367</v>
      </c>
      <c r="K61" s="4">
        <f t="shared" si="5"/>
        <v>0</v>
      </c>
      <c r="L61" s="3" t="s">
        <v>19</v>
      </c>
      <c r="M61" s="5" t="s">
        <v>368</v>
      </c>
    </row>
    <row r="62">
      <c r="A62" s="3" t="s">
        <v>369</v>
      </c>
      <c r="B62" s="3" t="s">
        <v>370</v>
      </c>
      <c r="C62" s="4">
        <f t="shared" si="1"/>
        <v>0</v>
      </c>
      <c r="D62" s="3" t="s">
        <v>371</v>
      </c>
      <c r="E62" s="4">
        <f t="shared" si="2"/>
        <v>1</v>
      </c>
      <c r="F62" s="3" t="s">
        <v>372</v>
      </c>
      <c r="G62" s="4">
        <f t="shared" si="3"/>
        <v>0</v>
      </c>
      <c r="H62" s="3" t="s">
        <v>226</v>
      </c>
      <c r="I62" s="4">
        <f t="shared" si="4"/>
        <v>0</v>
      </c>
      <c r="J62" s="3" t="s">
        <v>227</v>
      </c>
      <c r="K62" s="4">
        <f t="shared" si="5"/>
        <v>0</v>
      </c>
      <c r="L62" s="3" t="s">
        <v>27</v>
      </c>
      <c r="M62" s="5" t="s">
        <v>373</v>
      </c>
    </row>
    <row r="63">
      <c r="A63" s="3" t="s">
        <v>374</v>
      </c>
      <c r="B63" s="3" t="s">
        <v>375</v>
      </c>
      <c r="C63" s="4">
        <f t="shared" si="1"/>
        <v>1</v>
      </c>
      <c r="D63" s="3" t="s">
        <v>15</v>
      </c>
      <c r="E63" s="4">
        <f t="shared" si="2"/>
        <v>0</v>
      </c>
      <c r="F63" s="3" t="s">
        <v>217</v>
      </c>
      <c r="G63" s="4">
        <f t="shared" si="3"/>
        <v>0</v>
      </c>
      <c r="H63" s="3" t="s">
        <v>376</v>
      </c>
      <c r="I63" s="4">
        <f t="shared" si="4"/>
        <v>0</v>
      </c>
      <c r="J63" s="3" t="s">
        <v>377</v>
      </c>
      <c r="K63" s="4">
        <f t="shared" si="5"/>
        <v>0</v>
      </c>
      <c r="L63" s="3" t="s">
        <v>35</v>
      </c>
      <c r="M63" s="5" t="s">
        <v>378</v>
      </c>
    </row>
    <row r="64">
      <c r="A64" s="3" t="s">
        <v>379</v>
      </c>
      <c r="B64" s="3" t="s">
        <v>380</v>
      </c>
      <c r="C64" s="4">
        <f t="shared" si="1"/>
        <v>1</v>
      </c>
      <c r="D64" s="3" t="s">
        <v>54</v>
      </c>
      <c r="E64" s="4">
        <f t="shared" si="2"/>
        <v>0</v>
      </c>
      <c r="F64" s="3" t="s">
        <v>226</v>
      </c>
      <c r="G64" s="4">
        <f t="shared" si="3"/>
        <v>0</v>
      </c>
      <c r="H64" s="3" t="s">
        <v>224</v>
      </c>
      <c r="I64" s="4">
        <f t="shared" si="4"/>
        <v>0</v>
      </c>
      <c r="J64" s="3" t="s">
        <v>227</v>
      </c>
      <c r="K64" s="4">
        <f t="shared" si="5"/>
        <v>0</v>
      </c>
      <c r="L64" s="3" t="s">
        <v>35</v>
      </c>
      <c r="M64" s="5" t="s">
        <v>381</v>
      </c>
    </row>
    <row r="65">
      <c r="A65" s="3" t="s">
        <v>382</v>
      </c>
      <c r="B65" s="3" t="s">
        <v>270</v>
      </c>
      <c r="C65" s="4">
        <f t="shared" si="1"/>
        <v>1</v>
      </c>
      <c r="D65" s="3" t="s">
        <v>271</v>
      </c>
      <c r="E65" s="4">
        <f t="shared" si="2"/>
        <v>0</v>
      </c>
      <c r="F65" s="3" t="s">
        <v>272</v>
      </c>
      <c r="G65" s="4">
        <f t="shared" si="3"/>
        <v>0</v>
      </c>
      <c r="H65" s="3" t="s">
        <v>273</v>
      </c>
      <c r="I65" s="4">
        <f t="shared" si="4"/>
        <v>0</v>
      </c>
      <c r="J65" s="3" t="s">
        <v>274</v>
      </c>
      <c r="K65" s="4">
        <f t="shared" si="5"/>
        <v>0</v>
      </c>
      <c r="L65" s="3" t="s">
        <v>35</v>
      </c>
      <c r="M65" s="5" t="s">
        <v>383</v>
      </c>
    </row>
    <row r="66">
      <c r="A66" s="3" t="s">
        <v>384</v>
      </c>
      <c r="B66" s="3" t="s">
        <v>385</v>
      </c>
      <c r="C66" s="4">
        <f t="shared" si="1"/>
        <v>0</v>
      </c>
      <c r="D66" s="3" t="s">
        <v>386</v>
      </c>
      <c r="E66" s="4">
        <f t="shared" si="2"/>
        <v>0</v>
      </c>
      <c r="F66" s="3" t="s">
        <v>387</v>
      </c>
      <c r="G66" s="4">
        <f t="shared" si="3"/>
        <v>1</v>
      </c>
      <c r="H66" s="3" t="s">
        <v>38</v>
      </c>
      <c r="I66" s="4">
        <f t="shared" si="4"/>
        <v>0</v>
      </c>
      <c r="J66" s="3" t="s">
        <v>388</v>
      </c>
      <c r="K66" s="4">
        <f t="shared" si="5"/>
        <v>0</v>
      </c>
      <c r="L66" s="3" t="s">
        <v>19</v>
      </c>
      <c r="M66" s="5" t="s">
        <v>389</v>
      </c>
    </row>
    <row r="67">
      <c r="A67" s="3" t="s">
        <v>390</v>
      </c>
      <c r="B67" s="3" t="s">
        <v>220</v>
      </c>
      <c r="C67" s="4">
        <f t="shared" si="1"/>
        <v>0</v>
      </c>
      <c r="D67" s="3" t="s">
        <v>218</v>
      </c>
      <c r="E67" s="4">
        <f t="shared" si="2"/>
        <v>0</v>
      </c>
      <c r="F67" s="3" t="s">
        <v>284</v>
      </c>
      <c r="G67" s="4">
        <f t="shared" si="3"/>
        <v>0</v>
      </c>
      <c r="H67" s="3" t="s">
        <v>217</v>
      </c>
      <c r="I67" s="4">
        <f t="shared" si="4"/>
        <v>1</v>
      </c>
      <c r="J67" s="3" t="s">
        <v>219</v>
      </c>
      <c r="K67" s="4">
        <f t="shared" si="5"/>
        <v>0</v>
      </c>
      <c r="L67" s="3" t="s">
        <v>112</v>
      </c>
      <c r="M67" s="5" t="s">
        <v>391</v>
      </c>
    </row>
    <row r="68">
      <c r="A68" s="3" t="s">
        <v>392</v>
      </c>
      <c r="B68" s="3" t="s">
        <v>332</v>
      </c>
      <c r="C68" s="4">
        <f t="shared" si="1"/>
        <v>1</v>
      </c>
      <c r="D68" s="3" t="s">
        <v>333</v>
      </c>
      <c r="E68" s="4">
        <f t="shared" si="2"/>
        <v>0</v>
      </c>
      <c r="F68" s="3" t="s">
        <v>294</v>
      </c>
      <c r="G68" s="4">
        <f t="shared" si="3"/>
        <v>0</v>
      </c>
      <c r="H68" s="3" t="s">
        <v>335</v>
      </c>
      <c r="I68" s="4">
        <f t="shared" si="4"/>
        <v>0</v>
      </c>
      <c r="J68" s="3" t="s">
        <v>336</v>
      </c>
      <c r="K68" s="4">
        <f t="shared" si="5"/>
        <v>0</v>
      </c>
      <c r="L68" s="3" t="s">
        <v>35</v>
      </c>
      <c r="M68" s="5" t="s">
        <v>393</v>
      </c>
    </row>
    <row r="69">
      <c r="A69" s="3" t="s">
        <v>394</v>
      </c>
      <c r="B69" s="3" t="s">
        <v>395</v>
      </c>
      <c r="C69" s="4">
        <f t="shared" si="1"/>
        <v>0</v>
      </c>
      <c r="D69" s="3" t="s">
        <v>396</v>
      </c>
      <c r="E69" s="4">
        <f t="shared" si="2"/>
        <v>1</v>
      </c>
      <c r="F69" s="3" t="s">
        <v>397</v>
      </c>
      <c r="G69" s="4">
        <f t="shared" si="3"/>
        <v>0</v>
      </c>
      <c r="H69" s="3" t="s">
        <v>398</v>
      </c>
      <c r="I69" s="4">
        <f t="shared" si="4"/>
        <v>0</v>
      </c>
      <c r="J69" s="3" t="s">
        <v>399</v>
      </c>
      <c r="K69" s="4">
        <f t="shared" si="5"/>
        <v>0</v>
      </c>
      <c r="L69" s="3" t="s">
        <v>27</v>
      </c>
      <c r="M69" s="5" t="s">
        <v>400</v>
      </c>
    </row>
    <row r="70">
      <c r="A70" s="3" t="s">
        <v>401</v>
      </c>
      <c r="B70" s="3" t="s">
        <v>402</v>
      </c>
      <c r="C70" s="4">
        <f t="shared" si="1"/>
        <v>1</v>
      </c>
      <c r="D70" s="3" t="s">
        <v>403</v>
      </c>
      <c r="E70" s="4">
        <f t="shared" si="2"/>
        <v>0</v>
      </c>
      <c r="F70" s="3" t="s">
        <v>300</v>
      </c>
      <c r="G70" s="4">
        <f t="shared" si="3"/>
        <v>0</v>
      </c>
      <c r="H70" s="3" t="s">
        <v>404</v>
      </c>
      <c r="I70" s="4">
        <f t="shared" si="4"/>
        <v>0</v>
      </c>
      <c r="J70" s="3" t="s">
        <v>405</v>
      </c>
      <c r="K70" s="4">
        <f t="shared" si="5"/>
        <v>0</v>
      </c>
      <c r="L70" s="3" t="s">
        <v>35</v>
      </c>
      <c r="M70" s="5" t="s">
        <v>406</v>
      </c>
    </row>
    <row r="71">
      <c r="A71" s="3" t="s">
        <v>407</v>
      </c>
      <c r="B71" s="3" t="s">
        <v>408</v>
      </c>
      <c r="C71" s="4">
        <f t="shared" si="1"/>
        <v>1</v>
      </c>
      <c r="D71" s="3" t="s">
        <v>409</v>
      </c>
      <c r="E71" s="4">
        <f t="shared" si="2"/>
        <v>0</v>
      </c>
      <c r="F71" s="3" t="s">
        <v>410</v>
      </c>
      <c r="G71" s="4">
        <f t="shared" si="3"/>
        <v>0</v>
      </c>
      <c r="H71" s="3" t="s">
        <v>411</v>
      </c>
      <c r="I71" s="4">
        <f t="shared" si="4"/>
        <v>0</v>
      </c>
      <c r="J71" s="3" t="s">
        <v>412</v>
      </c>
      <c r="K71" s="4">
        <f t="shared" si="5"/>
        <v>0</v>
      </c>
      <c r="L71" s="3" t="s">
        <v>35</v>
      </c>
      <c r="M71" s="5" t="s">
        <v>413</v>
      </c>
    </row>
    <row r="72">
      <c r="A72" s="3" t="s">
        <v>414</v>
      </c>
      <c r="B72" s="3" t="s">
        <v>284</v>
      </c>
      <c r="C72" s="4">
        <f t="shared" si="1"/>
        <v>0</v>
      </c>
      <c r="D72" s="3" t="s">
        <v>217</v>
      </c>
      <c r="E72" s="4">
        <f t="shared" si="2"/>
        <v>1</v>
      </c>
      <c r="F72" s="3" t="s">
        <v>218</v>
      </c>
      <c r="G72" s="4">
        <f t="shared" si="3"/>
        <v>0</v>
      </c>
      <c r="H72" s="3" t="s">
        <v>220</v>
      </c>
      <c r="I72" s="4">
        <f t="shared" si="4"/>
        <v>0</v>
      </c>
      <c r="J72" s="3" t="s">
        <v>415</v>
      </c>
      <c r="K72" s="4">
        <f t="shared" si="5"/>
        <v>0</v>
      </c>
      <c r="L72" s="3" t="s">
        <v>27</v>
      </c>
      <c r="M72" s="5" t="s">
        <v>416</v>
      </c>
    </row>
    <row r="73">
      <c r="A73" s="3" t="s">
        <v>417</v>
      </c>
      <c r="B73" s="3" t="s">
        <v>418</v>
      </c>
      <c r="C73" s="4">
        <f t="shared" si="1"/>
        <v>1</v>
      </c>
      <c r="D73" s="3" t="s">
        <v>419</v>
      </c>
      <c r="E73" s="4">
        <f t="shared" si="2"/>
        <v>0</v>
      </c>
      <c r="F73" s="3" t="s">
        <v>420</v>
      </c>
      <c r="G73" s="4">
        <f t="shared" si="3"/>
        <v>0</v>
      </c>
      <c r="H73" s="3" t="s">
        <v>421</v>
      </c>
      <c r="I73" s="4">
        <f t="shared" si="4"/>
        <v>0</v>
      </c>
      <c r="J73" s="3" t="s">
        <v>422</v>
      </c>
      <c r="K73" s="4">
        <f t="shared" si="5"/>
        <v>0</v>
      </c>
      <c r="L73" s="3" t="s">
        <v>35</v>
      </c>
      <c r="M73" s="5" t="s">
        <v>423</v>
      </c>
    </row>
    <row r="74">
      <c r="A74" s="3" t="s">
        <v>424</v>
      </c>
      <c r="B74" s="3" t="s">
        <v>54</v>
      </c>
      <c r="C74" s="4">
        <f t="shared" si="1"/>
        <v>0</v>
      </c>
      <c r="D74" s="3" t="s">
        <v>81</v>
      </c>
      <c r="E74" s="4">
        <f t="shared" si="2"/>
        <v>0</v>
      </c>
      <c r="F74" s="3" t="s">
        <v>371</v>
      </c>
      <c r="G74" s="4">
        <f t="shared" si="3"/>
        <v>1</v>
      </c>
      <c r="H74" s="3" t="s">
        <v>425</v>
      </c>
      <c r="I74" s="4">
        <f t="shared" si="4"/>
        <v>0</v>
      </c>
      <c r="J74" s="3" t="s">
        <v>426</v>
      </c>
      <c r="K74" s="4">
        <f t="shared" si="5"/>
        <v>0</v>
      </c>
      <c r="L74" s="3" t="s">
        <v>19</v>
      </c>
      <c r="M74" s="5" t="s">
        <v>427</v>
      </c>
    </row>
    <row r="75">
      <c r="A75" s="3" t="s">
        <v>428</v>
      </c>
      <c r="B75" s="3" t="s">
        <v>366</v>
      </c>
      <c r="C75" s="4">
        <f t="shared" si="1"/>
        <v>1</v>
      </c>
      <c r="D75" s="3" t="s">
        <v>186</v>
      </c>
      <c r="E75" s="4">
        <f t="shared" si="2"/>
        <v>0</v>
      </c>
      <c r="F75" s="3" t="s">
        <v>17</v>
      </c>
      <c r="G75" s="4">
        <f t="shared" si="3"/>
        <v>0</v>
      </c>
      <c r="H75" s="3" t="s">
        <v>429</v>
      </c>
      <c r="I75" s="4">
        <f t="shared" si="4"/>
        <v>0</v>
      </c>
      <c r="J75" s="3" t="s">
        <v>430</v>
      </c>
      <c r="K75" s="4">
        <f t="shared" si="5"/>
        <v>0</v>
      </c>
      <c r="L75" s="3" t="s">
        <v>35</v>
      </c>
      <c r="M75" s="5" t="s">
        <v>431</v>
      </c>
    </row>
    <row r="76">
      <c r="A76" s="3" t="s">
        <v>432</v>
      </c>
      <c r="B76" s="3" t="s">
        <v>433</v>
      </c>
      <c r="C76" s="4">
        <f t="shared" si="1"/>
        <v>1</v>
      </c>
      <c r="D76" s="3" t="s">
        <v>434</v>
      </c>
      <c r="E76" s="4">
        <f t="shared" si="2"/>
        <v>0</v>
      </c>
      <c r="F76" s="3" t="s">
        <v>372</v>
      </c>
      <c r="G76" s="4">
        <f t="shared" si="3"/>
        <v>0</v>
      </c>
      <c r="H76" s="3" t="s">
        <v>435</v>
      </c>
      <c r="I76" s="4">
        <f t="shared" si="4"/>
        <v>0</v>
      </c>
      <c r="J76" s="3" t="s">
        <v>371</v>
      </c>
      <c r="K76" s="4">
        <f t="shared" si="5"/>
        <v>0</v>
      </c>
      <c r="L76" s="3" t="s">
        <v>35</v>
      </c>
      <c r="M76" s="5" t="s">
        <v>436</v>
      </c>
    </row>
    <row r="77">
      <c r="A77" s="3" t="s">
        <v>437</v>
      </c>
      <c r="B77" s="3" t="s">
        <v>38</v>
      </c>
      <c r="C77" s="4">
        <f t="shared" si="1"/>
        <v>0</v>
      </c>
      <c r="D77" s="3" t="s">
        <v>385</v>
      </c>
      <c r="E77" s="4">
        <f t="shared" si="2"/>
        <v>1</v>
      </c>
      <c r="F77" s="3" t="s">
        <v>388</v>
      </c>
      <c r="G77" s="4">
        <f t="shared" si="3"/>
        <v>0</v>
      </c>
      <c r="H77" s="3" t="s">
        <v>386</v>
      </c>
      <c r="I77" s="4">
        <f t="shared" si="4"/>
        <v>0</v>
      </c>
      <c r="J77" s="3" t="s">
        <v>387</v>
      </c>
      <c r="K77" s="4">
        <f t="shared" si="5"/>
        <v>0</v>
      </c>
      <c r="L77" s="3" t="s">
        <v>27</v>
      </c>
      <c r="M77" s="5" t="s">
        <v>438</v>
      </c>
    </row>
    <row r="78">
      <c r="A78" s="3" t="s">
        <v>439</v>
      </c>
      <c r="B78" s="3" t="s">
        <v>440</v>
      </c>
      <c r="C78" s="4">
        <f t="shared" si="1"/>
        <v>1</v>
      </c>
      <c r="D78" s="3" t="s">
        <v>441</v>
      </c>
      <c r="E78" s="4">
        <f t="shared" si="2"/>
        <v>0</v>
      </c>
      <c r="F78" s="3" t="s">
        <v>404</v>
      </c>
      <c r="G78" s="4">
        <f t="shared" si="3"/>
        <v>0</v>
      </c>
      <c r="H78" s="3" t="s">
        <v>442</v>
      </c>
      <c r="I78" s="4">
        <f t="shared" si="4"/>
        <v>0</v>
      </c>
      <c r="J78" s="3" t="s">
        <v>443</v>
      </c>
      <c r="K78" s="4">
        <f t="shared" si="5"/>
        <v>0</v>
      </c>
      <c r="L78" s="3" t="s">
        <v>35</v>
      </c>
      <c r="M78" s="5" t="s">
        <v>444</v>
      </c>
    </row>
    <row r="79">
      <c r="A79" s="3" t="s">
        <v>445</v>
      </c>
      <c r="B79" s="3" t="s">
        <v>446</v>
      </c>
      <c r="C79" s="4">
        <f t="shared" si="1"/>
        <v>1</v>
      </c>
      <c r="D79" s="3" t="s">
        <v>447</v>
      </c>
      <c r="E79" s="4">
        <f t="shared" si="2"/>
        <v>0</v>
      </c>
      <c r="F79" s="3" t="s">
        <v>448</v>
      </c>
      <c r="G79" s="4">
        <f t="shared" si="3"/>
        <v>0</v>
      </c>
      <c r="H79" s="3" t="s">
        <v>449</v>
      </c>
      <c r="I79" s="4">
        <f t="shared" si="4"/>
        <v>0</v>
      </c>
      <c r="J79" s="3" t="s">
        <v>450</v>
      </c>
      <c r="K79" s="4">
        <f t="shared" si="5"/>
        <v>0</v>
      </c>
      <c r="L79" s="3" t="s">
        <v>35</v>
      </c>
      <c r="M79" s="5" t="s">
        <v>451</v>
      </c>
    </row>
    <row r="80">
      <c r="A80" s="3" t="s">
        <v>414</v>
      </c>
      <c r="B80" s="3" t="s">
        <v>284</v>
      </c>
      <c r="C80" s="4">
        <f t="shared" si="1"/>
        <v>0</v>
      </c>
      <c r="D80" s="3" t="s">
        <v>217</v>
      </c>
      <c r="E80" s="4">
        <f t="shared" si="2"/>
        <v>1</v>
      </c>
      <c r="F80" s="3" t="s">
        <v>218</v>
      </c>
      <c r="G80" s="4">
        <f t="shared" si="3"/>
        <v>0</v>
      </c>
      <c r="H80" s="3" t="s">
        <v>220</v>
      </c>
      <c r="I80" s="4">
        <f t="shared" si="4"/>
        <v>0</v>
      </c>
      <c r="J80" s="3" t="s">
        <v>415</v>
      </c>
      <c r="K80" s="4">
        <f t="shared" si="5"/>
        <v>0</v>
      </c>
      <c r="L80" s="3" t="s">
        <v>27</v>
      </c>
      <c r="M80" s="5" t="s">
        <v>416</v>
      </c>
    </row>
    <row r="81">
      <c r="A81" s="3" t="s">
        <v>417</v>
      </c>
      <c r="B81" s="3" t="s">
        <v>418</v>
      </c>
      <c r="C81" s="4">
        <f t="shared" si="1"/>
        <v>1</v>
      </c>
      <c r="D81" s="3" t="s">
        <v>419</v>
      </c>
      <c r="E81" s="4">
        <f t="shared" si="2"/>
        <v>0</v>
      </c>
      <c r="F81" s="3" t="s">
        <v>420</v>
      </c>
      <c r="G81" s="4">
        <f t="shared" si="3"/>
        <v>0</v>
      </c>
      <c r="H81" s="3" t="s">
        <v>421</v>
      </c>
      <c r="I81" s="4">
        <f t="shared" si="4"/>
        <v>0</v>
      </c>
      <c r="J81" s="3" t="s">
        <v>422</v>
      </c>
      <c r="K81" s="4">
        <f t="shared" si="5"/>
        <v>0</v>
      </c>
      <c r="L81" s="3" t="s">
        <v>35</v>
      </c>
      <c r="M81" s="5" t="s">
        <v>423</v>
      </c>
    </row>
    <row r="82">
      <c r="A82" s="3" t="s">
        <v>424</v>
      </c>
      <c r="B82" s="3" t="s">
        <v>54</v>
      </c>
      <c r="C82" s="4">
        <f t="shared" si="1"/>
        <v>0</v>
      </c>
      <c r="D82" s="3" t="s">
        <v>81</v>
      </c>
      <c r="E82" s="4">
        <f t="shared" si="2"/>
        <v>0</v>
      </c>
      <c r="F82" s="3" t="s">
        <v>371</v>
      </c>
      <c r="G82" s="4">
        <f t="shared" si="3"/>
        <v>1</v>
      </c>
      <c r="H82" s="3" t="s">
        <v>425</v>
      </c>
      <c r="I82" s="4">
        <f t="shared" si="4"/>
        <v>0</v>
      </c>
      <c r="J82" s="3" t="s">
        <v>426</v>
      </c>
      <c r="K82" s="4">
        <f t="shared" si="5"/>
        <v>0</v>
      </c>
      <c r="L82" s="3" t="s">
        <v>19</v>
      </c>
      <c r="M82" s="5" t="s">
        <v>427</v>
      </c>
    </row>
    <row r="83">
      <c r="A83" s="3" t="s">
        <v>428</v>
      </c>
      <c r="B83" s="3" t="s">
        <v>366</v>
      </c>
      <c r="C83" s="4">
        <f t="shared" si="1"/>
        <v>1</v>
      </c>
      <c r="D83" s="3" t="s">
        <v>186</v>
      </c>
      <c r="E83" s="4">
        <f t="shared" si="2"/>
        <v>0</v>
      </c>
      <c r="F83" s="3" t="s">
        <v>17</v>
      </c>
      <c r="G83" s="4">
        <f t="shared" si="3"/>
        <v>0</v>
      </c>
      <c r="H83" s="3" t="s">
        <v>429</v>
      </c>
      <c r="I83" s="4">
        <f t="shared" si="4"/>
        <v>0</v>
      </c>
      <c r="J83" s="3" t="s">
        <v>430</v>
      </c>
      <c r="K83" s="4">
        <f t="shared" si="5"/>
        <v>0</v>
      </c>
      <c r="L83" s="3" t="s">
        <v>35</v>
      </c>
      <c r="M83" s="5" t="s">
        <v>431</v>
      </c>
    </row>
    <row r="84">
      <c r="A84" s="3" t="s">
        <v>432</v>
      </c>
      <c r="B84" s="3" t="s">
        <v>433</v>
      </c>
      <c r="C84" s="4">
        <f t="shared" si="1"/>
        <v>1</v>
      </c>
      <c r="D84" s="3" t="s">
        <v>434</v>
      </c>
      <c r="E84" s="4">
        <f t="shared" si="2"/>
        <v>0</v>
      </c>
      <c r="F84" s="3" t="s">
        <v>372</v>
      </c>
      <c r="G84" s="4">
        <f t="shared" si="3"/>
        <v>0</v>
      </c>
      <c r="H84" s="3" t="s">
        <v>435</v>
      </c>
      <c r="I84" s="4">
        <f t="shared" si="4"/>
        <v>0</v>
      </c>
      <c r="J84" s="3" t="s">
        <v>371</v>
      </c>
      <c r="K84" s="4">
        <f t="shared" si="5"/>
        <v>0</v>
      </c>
      <c r="L84" s="3" t="s">
        <v>35</v>
      </c>
      <c r="M84" s="5" t="s">
        <v>436</v>
      </c>
    </row>
    <row r="85">
      <c r="A85" s="3" t="s">
        <v>437</v>
      </c>
      <c r="B85" s="3" t="s">
        <v>38</v>
      </c>
      <c r="C85" s="4">
        <f t="shared" si="1"/>
        <v>0</v>
      </c>
      <c r="D85" s="3" t="s">
        <v>385</v>
      </c>
      <c r="E85" s="4">
        <f t="shared" si="2"/>
        <v>1</v>
      </c>
      <c r="F85" s="3" t="s">
        <v>388</v>
      </c>
      <c r="G85" s="4">
        <f t="shared" si="3"/>
        <v>0</v>
      </c>
      <c r="H85" s="3" t="s">
        <v>386</v>
      </c>
      <c r="I85" s="4">
        <f t="shared" si="4"/>
        <v>0</v>
      </c>
      <c r="J85" s="3" t="s">
        <v>387</v>
      </c>
      <c r="K85" s="4">
        <f t="shared" si="5"/>
        <v>0</v>
      </c>
      <c r="L85" s="3" t="s">
        <v>27</v>
      </c>
      <c r="M85" s="5" t="s">
        <v>438</v>
      </c>
    </row>
    <row r="86">
      <c r="A86" s="3" t="s">
        <v>439</v>
      </c>
      <c r="B86" s="3" t="s">
        <v>440</v>
      </c>
      <c r="C86" s="4">
        <f t="shared" si="1"/>
        <v>1</v>
      </c>
      <c r="D86" s="3" t="s">
        <v>441</v>
      </c>
      <c r="E86" s="4">
        <f t="shared" si="2"/>
        <v>0</v>
      </c>
      <c r="F86" s="3" t="s">
        <v>404</v>
      </c>
      <c r="G86" s="4">
        <f t="shared" si="3"/>
        <v>0</v>
      </c>
      <c r="H86" s="3" t="s">
        <v>442</v>
      </c>
      <c r="I86" s="4">
        <f t="shared" si="4"/>
        <v>0</v>
      </c>
      <c r="J86" s="3" t="s">
        <v>443</v>
      </c>
      <c r="K86" s="4">
        <f t="shared" si="5"/>
        <v>0</v>
      </c>
      <c r="L86" s="3" t="s">
        <v>35</v>
      </c>
      <c r="M86" s="5" t="s">
        <v>444</v>
      </c>
    </row>
    <row r="87">
      <c r="A87" s="3" t="s">
        <v>437</v>
      </c>
      <c r="B87" s="3" t="s">
        <v>38</v>
      </c>
      <c r="C87" s="4">
        <f t="shared" si="1"/>
        <v>0</v>
      </c>
      <c r="D87" s="3" t="s">
        <v>385</v>
      </c>
      <c r="E87" s="4">
        <f t="shared" si="2"/>
        <v>1</v>
      </c>
      <c r="F87" s="3" t="s">
        <v>388</v>
      </c>
      <c r="G87" s="4">
        <f t="shared" si="3"/>
        <v>0</v>
      </c>
      <c r="H87" s="3" t="s">
        <v>386</v>
      </c>
      <c r="I87" s="4">
        <f t="shared" si="4"/>
        <v>0</v>
      </c>
      <c r="J87" s="3" t="s">
        <v>387</v>
      </c>
      <c r="K87" s="4">
        <f t="shared" si="5"/>
        <v>0</v>
      </c>
      <c r="L87" s="3" t="s">
        <v>27</v>
      </c>
      <c r="M87" s="5" t="s">
        <v>438</v>
      </c>
    </row>
    <row r="88">
      <c r="A88" s="3" t="s">
        <v>439</v>
      </c>
      <c r="B88" s="3" t="s">
        <v>440</v>
      </c>
      <c r="C88" s="4">
        <f t="shared" si="1"/>
        <v>1</v>
      </c>
      <c r="D88" s="3" t="s">
        <v>441</v>
      </c>
      <c r="E88" s="4">
        <f t="shared" si="2"/>
        <v>0</v>
      </c>
      <c r="F88" s="3" t="s">
        <v>404</v>
      </c>
      <c r="G88" s="4">
        <f t="shared" si="3"/>
        <v>0</v>
      </c>
      <c r="H88" s="3" t="s">
        <v>442</v>
      </c>
      <c r="I88" s="4">
        <f t="shared" si="4"/>
        <v>0</v>
      </c>
      <c r="J88" s="3" t="s">
        <v>443</v>
      </c>
      <c r="K88" s="4">
        <f t="shared" si="5"/>
        <v>0</v>
      </c>
      <c r="L88" s="3" t="s">
        <v>35</v>
      </c>
      <c r="M88" s="5" t="s">
        <v>444</v>
      </c>
    </row>
    <row r="89">
      <c r="A89" s="3" t="s">
        <v>445</v>
      </c>
      <c r="B89" s="3" t="s">
        <v>446</v>
      </c>
      <c r="C89" s="4">
        <f t="shared" si="1"/>
        <v>1</v>
      </c>
      <c r="D89" s="3" t="s">
        <v>447</v>
      </c>
      <c r="E89" s="4">
        <f t="shared" si="2"/>
        <v>0</v>
      </c>
      <c r="F89" s="3" t="s">
        <v>448</v>
      </c>
      <c r="G89" s="4">
        <f t="shared" si="3"/>
        <v>0</v>
      </c>
      <c r="H89" s="3" t="s">
        <v>449</v>
      </c>
      <c r="I89" s="4">
        <f t="shared" si="4"/>
        <v>0</v>
      </c>
      <c r="J89" s="3" t="s">
        <v>450</v>
      </c>
      <c r="K89" s="4">
        <f t="shared" si="5"/>
        <v>0</v>
      </c>
      <c r="L89" s="3" t="s">
        <v>35</v>
      </c>
      <c r="M89" s="5" t="s">
        <v>451</v>
      </c>
    </row>
    <row r="90">
      <c r="A90" s="3" t="s">
        <v>414</v>
      </c>
      <c r="B90" s="3" t="s">
        <v>284</v>
      </c>
      <c r="C90" s="4">
        <f t="shared" si="1"/>
        <v>0</v>
      </c>
      <c r="D90" s="3" t="s">
        <v>217</v>
      </c>
      <c r="E90" s="4">
        <f t="shared" si="2"/>
        <v>1</v>
      </c>
      <c r="F90" s="3" t="s">
        <v>218</v>
      </c>
      <c r="G90" s="4">
        <f t="shared" si="3"/>
        <v>0</v>
      </c>
      <c r="H90" s="3" t="s">
        <v>220</v>
      </c>
      <c r="I90" s="4">
        <f t="shared" si="4"/>
        <v>0</v>
      </c>
      <c r="J90" s="3" t="s">
        <v>415</v>
      </c>
      <c r="K90" s="4">
        <f t="shared" si="5"/>
        <v>0</v>
      </c>
      <c r="L90" s="3" t="s">
        <v>27</v>
      </c>
      <c r="M90" s="5" t="s">
        <v>416</v>
      </c>
    </row>
    <row r="91">
      <c r="A91" s="3" t="s">
        <v>417</v>
      </c>
      <c r="B91" s="3" t="s">
        <v>418</v>
      </c>
      <c r="C91" s="4">
        <f t="shared" si="1"/>
        <v>1</v>
      </c>
      <c r="D91" s="3" t="s">
        <v>419</v>
      </c>
      <c r="E91" s="4">
        <f t="shared" si="2"/>
        <v>0</v>
      </c>
      <c r="F91" s="3" t="s">
        <v>420</v>
      </c>
      <c r="G91" s="4">
        <f t="shared" si="3"/>
        <v>0</v>
      </c>
      <c r="H91" s="3" t="s">
        <v>421</v>
      </c>
      <c r="I91" s="4">
        <f t="shared" si="4"/>
        <v>0</v>
      </c>
      <c r="J91" s="3" t="s">
        <v>422</v>
      </c>
      <c r="K91" s="4">
        <f t="shared" si="5"/>
        <v>0</v>
      </c>
      <c r="L91" s="3" t="s">
        <v>35</v>
      </c>
      <c r="M91" s="5" t="s">
        <v>423</v>
      </c>
    </row>
    <row r="92">
      <c r="A92" s="3" t="s">
        <v>452</v>
      </c>
      <c r="B92" s="3" t="s">
        <v>453</v>
      </c>
      <c r="C92" s="4">
        <f t="shared" si="1"/>
        <v>0</v>
      </c>
      <c r="D92" s="3" t="s">
        <v>454</v>
      </c>
      <c r="E92" s="4">
        <f t="shared" si="2"/>
        <v>1</v>
      </c>
      <c r="F92" s="3" t="s">
        <v>455</v>
      </c>
      <c r="G92" s="4">
        <f t="shared" si="3"/>
        <v>0</v>
      </c>
      <c r="H92" s="3" t="s">
        <v>456</v>
      </c>
      <c r="I92" s="4">
        <f t="shared" si="4"/>
        <v>0</v>
      </c>
      <c r="J92" s="3" t="s">
        <v>457</v>
      </c>
      <c r="K92" s="4">
        <f t="shared" si="5"/>
        <v>0</v>
      </c>
      <c r="L92" s="3" t="s">
        <v>27</v>
      </c>
      <c r="M92" s="5" t="s">
        <v>458</v>
      </c>
    </row>
    <row r="93">
      <c r="A93" s="3" t="s">
        <v>459</v>
      </c>
      <c r="B93" s="3" t="s">
        <v>460</v>
      </c>
      <c r="C93" s="4">
        <f t="shared" si="1"/>
        <v>0</v>
      </c>
      <c r="D93" s="3" t="s">
        <v>461</v>
      </c>
      <c r="E93" s="4">
        <f t="shared" si="2"/>
        <v>0</v>
      </c>
      <c r="F93" s="3" t="s">
        <v>462</v>
      </c>
      <c r="G93" s="4">
        <f t="shared" si="3"/>
        <v>1</v>
      </c>
      <c r="H93" s="3" t="s">
        <v>463</v>
      </c>
      <c r="I93" s="4">
        <f t="shared" si="4"/>
        <v>0</v>
      </c>
      <c r="J93" s="3" t="s">
        <v>464</v>
      </c>
      <c r="K93" s="4">
        <f t="shared" si="5"/>
        <v>0</v>
      </c>
      <c r="L93" s="3" t="s">
        <v>19</v>
      </c>
      <c r="M93" s="5" t="s">
        <v>465</v>
      </c>
    </row>
    <row r="94">
      <c r="A94" s="3" t="s">
        <v>466</v>
      </c>
      <c r="B94" s="3" t="s">
        <v>467</v>
      </c>
      <c r="C94" s="4">
        <f t="shared" si="1"/>
        <v>0</v>
      </c>
      <c r="D94" s="3" t="s">
        <v>468</v>
      </c>
      <c r="E94" s="4">
        <f t="shared" si="2"/>
        <v>1</v>
      </c>
      <c r="F94" s="3" t="s">
        <v>469</v>
      </c>
      <c r="G94" s="4">
        <f t="shared" si="3"/>
        <v>0</v>
      </c>
      <c r="H94" s="3" t="s">
        <v>470</v>
      </c>
      <c r="I94" s="4">
        <f t="shared" si="4"/>
        <v>0</v>
      </c>
      <c r="J94" s="3" t="s">
        <v>471</v>
      </c>
      <c r="K94" s="4">
        <f t="shared" si="5"/>
        <v>0</v>
      </c>
      <c r="L94" s="3" t="s">
        <v>27</v>
      </c>
      <c r="M94" s="5" t="s">
        <v>472</v>
      </c>
    </row>
    <row r="95">
      <c r="A95" s="3" t="s">
        <v>473</v>
      </c>
      <c r="B95" s="3" t="s">
        <v>474</v>
      </c>
      <c r="C95" s="4">
        <f t="shared" si="1"/>
        <v>1</v>
      </c>
      <c r="D95" s="3" t="s">
        <v>447</v>
      </c>
      <c r="E95" s="4">
        <f t="shared" si="2"/>
        <v>0</v>
      </c>
      <c r="F95" s="3" t="s">
        <v>475</v>
      </c>
      <c r="G95" s="4">
        <f t="shared" si="3"/>
        <v>0</v>
      </c>
      <c r="H95" s="3" t="s">
        <v>476</v>
      </c>
      <c r="I95" s="4">
        <f t="shared" si="4"/>
        <v>0</v>
      </c>
      <c r="J95" s="3" t="s">
        <v>477</v>
      </c>
      <c r="K95" s="4">
        <f t="shared" si="5"/>
        <v>0</v>
      </c>
      <c r="L95" s="3" t="s">
        <v>35</v>
      </c>
      <c r="M95" s="5" t="s">
        <v>478</v>
      </c>
    </row>
    <row r="96">
      <c r="A96" s="3" t="s">
        <v>479</v>
      </c>
      <c r="B96" s="3" t="s">
        <v>480</v>
      </c>
      <c r="C96" s="4">
        <f t="shared" si="1"/>
        <v>1</v>
      </c>
      <c r="D96" s="3" t="s">
        <v>481</v>
      </c>
      <c r="E96" s="4">
        <f t="shared" si="2"/>
        <v>0</v>
      </c>
      <c r="F96" s="3" t="s">
        <v>482</v>
      </c>
      <c r="G96" s="4">
        <f t="shared" si="3"/>
        <v>0</v>
      </c>
      <c r="H96" s="3" t="s">
        <v>483</v>
      </c>
      <c r="I96" s="4">
        <f t="shared" si="4"/>
        <v>0</v>
      </c>
      <c r="J96" s="3" t="s">
        <v>484</v>
      </c>
      <c r="K96" s="4">
        <f t="shared" si="5"/>
        <v>0</v>
      </c>
      <c r="L96" s="3" t="s">
        <v>35</v>
      </c>
      <c r="M96" s="5" t="s">
        <v>485</v>
      </c>
    </row>
    <row r="97">
      <c r="A97" s="3" t="s">
        <v>486</v>
      </c>
      <c r="B97" s="3" t="s">
        <v>487</v>
      </c>
      <c r="C97" s="4">
        <f t="shared" si="1"/>
        <v>0</v>
      </c>
      <c r="D97" s="3" t="s">
        <v>488</v>
      </c>
      <c r="E97" s="4">
        <f t="shared" si="2"/>
        <v>1</v>
      </c>
      <c r="F97" s="3" t="s">
        <v>489</v>
      </c>
      <c r="G97" s="4">
        <f t="shared" si="3"/>
        <v>0</v>
      </c>
      <c r="H97" s="3" t="s">
        <v>490</v>
      </c>
      <c r="I97" s="4">
        <f t="shared" si="4"/>
        <v>0</v>
      </c>
      <c r="J97" s="3" t="s">
        <v>491</v>
      </c>
      <c r="K97" s="4">
        <f t="shared" si="5"/>
        <v>0</v>
      </c>
      <c r="L97" s="3" t="s">
        <v>27</v>
      </c>
      <c r="M97" s="5" t="s">
        <v>492</v>
      </c>
    </row>
    <row r="98">
      <c r="A98" s="3" t="s">
        <v>493</v>
      </c>
      <c r="B98" s="3" t="s">
        <v>320</v>
      </c>
      <c r="C98" s="4">
        <f t="shared" si="1"/>
        <v>1</v>
      </c>
      <c r="D98" s="3" t="s">
        <v>494</v>
      </c>
      <c r="E98" s="4">
        <f t="shared" si="2"/>
        <v>0</v>
      </c>
      <c r="F98" s="3" t="s">
        <v>495</v>
      </c>
      <c r="G98" s="4">
        <f t="shared" si="3"/>
        <v>0</v>
      </c>
      <c r="H98" s="3" t="s">
        <v>496</v>
      </c>
      <c r="I98" s="4">
        <f t="shared" si="4"/>
        <v>0</v>
      </c>
      <c r="J98" s="3" t="s">
        <v>497</v>
      </c>
      <c r="K98" s="4">
        <f t="shared" si="5"/>
        <v>0</v>
      </c>
      <c r="L98" s="3" t="s">
        <v>35</v>
      </c>
      <c r="M98" s="5" t="s">
        <v>498</v>
      </c>
    </row>
    <row r="99">
      <c r="A99" s="3" t="s">
        <v>499</v>
      </c>
      <c r="B99" s="3" t="s">
        <v>500</v>
      </c>
      <c r="C99" s="4">
        <f t="shared" si="1"/>
        <v>0</v>
      </c>
      <c r="D99" s="3" t="s">
        <v>501</v>
      </c>
      <c r="E99" s="4">
        <f t="shared" si="2"/>
        <v>1</v>
      </c>
      <c r="F99" s="3" t="s">
        <v>502</v>
      </c>
      <c r="G99" s="4">
        <f t="shared" si="3"/>
        <v>0</v>
      </c>
      <c r="H99" s="3" t="s">
        <v>503</v>
      </c>
      <c r="I99" s="4">
        <f t="shared" si="4"/>
        <v>0</v>
      </c>
      <c r="J99" s="3" t="s">
        <v>504</v>
      </c>
      <c r="K99" s="4">
        <f t="shared" si="5"/>
        <v>0</v>
      </c>
      <c r="L99" s="3" t="s">
        <v>27</v>
      </c>
      <c r="M99" s="5" t="s">
        <v>505</v>
      </c>
    </row>
    <row r="100">
      <c r="A100" s="3" t="s">
        <v>506</v>
      </c>
      <c r="B100" s="3" t="s">
        <v>507</v>
      </c>
      <c r="C100" s="4">
        <f t="shared" si="1"/>
        <v>0</v>
      </c>
      <c r="D100" s="3" t="s">
        <v>508</v>
      </c>
      <c r="E100" s="4">
        <f t="shared" si="2"/>
        <v>0</v>
      </c>
      <c r="F100" s="3" t="s">
        <v>509</v>
      </c>
      <c r="G100" s="4">
        <f t="shared" si="3"/>
        <v>0</v>
      </c>
      <c r="H100" s="3" t="s">
        <v>510</v>
      </c>
      <c r="I100" s="4">
        <f t="shared" si="4"/>
        <v>1</v>
      </c>
      <c r="J100" s="3" t="s">
        <v>511</v>
      </c>
      <c r="K100" s="4">
        <f t="shared" si="5"/>
        <v>0</v>
      </c>
      <c r="L100" s="3" t="s">
        <v>112</v>
      </c>
      <c r="M100" s="5" t="s">
        <v>512</v>
      </c>
    </row>
    <row r="101">
      <c r="A101" s="3" t="s">
        <v>513</v>
      </c>
      <c r="B101" s="3" t="s">
        <v>514</v>
      </c>
      <c r="C101" s="4">
        <f t="shared" si="1"/>
        <v>0</v>
      </c>
      <c r="D101" s="3" t="s">
        <v>515</v>
      </c>
      <c r="E101" s="4">
        <f t="shared" si="2"/>
        <v>0</v>
      </c>
      <c r="F101" s="3" t="s">
        <v>516</v>
      </c>
      <c r="G101" s="4">
        <f t="shared" si="3"/>
        <v>0</v>
      </c>
      <c r="H101" s="3" t="s">
        <v>517</v>
      </c>
      <c r="I101" s="4">
        <f t="shared" si="4"/>
        <v>0</v>
      </c>
      <c r="J101" s="3" t="s">
        <v>518</v>
      </c>
      <c r="K101" s="4">
        <f t="shared" si="5"/>
        <v>1</v>
      </c>
      <c r="L101" s="3" t="s">
        <v>519</v>
      </c>
      <c r="M101" s="5" t="s">
        <v>520</v>
      </c>
    </row>
  </sheetData>
  <drawing r:id="rId1"/>
</worksheet>
</file>