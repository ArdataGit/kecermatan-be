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<sst xmlns="http://schemas.openxmlformats.org/spreadsheetml/2006/main" count="270" uniqueCount="211">
  <si>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</si>
  <si>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</si>
  <si>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</si>
  <si>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</si>
  <si>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</si>
  <si>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</si>
  <si>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</si>
  <si>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</si>
  <si>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</si>
  <si>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</si>
  <si>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</si>
  <si>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</si>
  <si>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</si>
  <si>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</si>
  <si>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</si>
  <si>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Apakah nama dokumen yang pertama kali memuat dasar negara Indonesia yang dikenal sebagai Pancasila?</t>
  </si>
  <si>
    <t>Piagam Jakarta</t>
  </si>
  <si>
    <t>Undang-Undang Dasar 1945</t>
  </si>
  <si>
    <t>Proklamasi Kemerdekaan</t>
  </si>
  <si>
    <t>Deklarasi Djuanda</t>
  </si>
  <si>
    <t>Sumpah Pemuda</t>
  </si>
  <si>
    <t>Piagam Jakarta memuat rumusan dasar negara yang kemudian dikenal sebagai Pancasila pada 22 Juni 1945.</t>
  </si>
  <si>
    <t>Sila keempat Pancasila mengajarkan pentingnya...?</t>
  </si>
  <si>
    <t>Musyawarah mufakat</t>
  </si>
  <si>
    <t>Keadilan sosial</t>
  </si>
  <si>
    <t>Kebebasan beragama</t>
  </si>
  <si>
    <t>Kedaulatan rakyat</t>
  </si>
  <si>
    <t>Penghargaan terhadap HAM</t>
  </si>
  <si>
    <t>Sila keempat Pancasila mengajarkan bahwa keputusan harus diambil melalui musyawarah mufakat demi kepentingan bersama.</t>
  </si>
  <si>
    <t>Apakah ancaman yang dapat merusak implementasi nilai-nilai Pancasila dalam kehidupan berbangsa dan bernegara?</t>
  </si>
  <si>
    <t>Korupsi</t>
  </si>
  <si>
    <t>Meningkatnya populasi</t>
  </si>
  <si>
    <t>Inflasi</t>
  </si>
  <si>
    <t>Isu SARA</t>
  </si>
  <si>
    <t>Kemajuan teknologi</t>
  </si>
  <si>
    <t>Korupsi adalah ancaman serius yang dapat merusak implementasi nilai-nilai Pancasila dalam berbagai aspek kehidupan.</t>
  </si>
  <si>
    <t>Apa peran Pancasila dalam menjaga keharmonisan antarumat beragama di Indonesia?</t>
  </si>
  <si>
    <t>Sebagai dasar negara yang melindungi kebebasan beragama</t>
  </si>
  <si>
    <t>Sebagai panduan hukum pidana</t>
  </si>
  <si>
    <t>Sebagai dasar kebijakan ekonomi</t>
  </si>
  <si>
    <t>Sebagai pedoman hubungan internasional</t>
  </si>
  <si>
    <t>Sebagai landasan politik luar negeri</t>
  </si>
  <si>
    <t>Pancasila berperan sebagai dasar negara yang menjamin kebebasan beragama dan melindungi kerukunan antarumat beragama di Indonesia.</t>
  </si>
  <si>
    <t>Apa makna dari sila kedua Pancasila, "Kemanusiaan yang Adil dan Beradab"?</t>
  </si>
  <si>
    <t>Menghormati hak asasi manusia</t>
  </si>
  <si>
    <t>Menegakkan hukum dan keadilan</t>
  </si>
  <si>
    <t>Mengutamakan persatuan</t>
  </si>
  <si>
    <t>Melaksanakan musyawarah</t>
  </si>
  <si>
    <t>Mengutamakan kepentingan pribadi</t>
  </si>
  <si>
    <t>Sila kedua Pancasila bermakna menghormati hak asasi manusia dan memperlakukan setiap individu dengan adil dan beradab.</t>
  </si>
  <si>
    <t>Siapakah tokoh yang menjadi Ketua BPUPKI yang merumuskan dasar negara Indonesia?</t>
  </si>
  <si>
    <t>Soepomo</t>
  </si>
  <si>
    <t>Radjiman Wedyodiningrat</t>
  </si>
  <si>
    <t>Mohammad Hatta</t>
  </si>
  <si>
    <t>Soekarno</t>
  </si>
  <si>
    <t>Ki Bagus Hadikusumo</t>
  </si>
  <si>
    <t>Radjiman Wedyodiningrat adalah Ketua BPUPKI yang memimpin sidang untuk merumuskan dasar negara Indonesia yang dikenal sebagai Pancasila.</t>
  </si>
  <si>
    <t>Berapa jumlah pasal dalam UUD 1945 sebelum amandemen?</t>
  </si>
  <si>
    <t>37 pasal</t>
  </si>
  <si>
    <t>45 pasal</t>
  </si>
  <si>
    <t>49 pasal</t>
  </si>
  <si>
    <t>50 pasal</t>
  </si>
  <si>
    <t>56 pasal</t>
  </si>
  <si>
    <t>Sebelum amandemen, UUD 1945 terdiri dari 37 pasal.</t>
  </si>
  <si>
    <t>Apa yang dimaksud dengan "Dekrit Presiden" dalam konteks sejarah UUD 1945?</t>
  </si>
  <si>
    <t>Keputusan Presiden yang mengubah UUD</t>
  </si>
  <si>
    <t>Keputusan tentang pembubaran kabinet</t>
  </si>
  <si>
    <t>Keputusan untuk menunda pemilihan umum</t>
  </si>
  <si>
    <t>Keputusan tentang pembentukan UUD baru</t>
  </si>
  <si>
    <t>Keputusan untuk mengubah struktur pemerintahan</t>
  </si>
  <si>
    <t>Dekrit Presiden adalah keputusan yang dikeluarkan oleh Presiden Soekarno pada 5 Juli 1959 untuk kembali ke UUD 1945.</t>
  </si>
  <si>
    <t>Siapa yang berwenang untuk mengajukan rancangan amandemen UUD 1945?</t>
  </si>
  <si>
    <t>Presiden</t>
  </si>
  <si>
    <t>DPR</t>
  </si>
  <si>
    <t>MPR</t>
  </si>
  <si>
    <t>DPD</t>
  </si>
  <si>
    <t>MA</t>
  </si>
  <si>
    <t>Rancangan amandemen UUD 1945 dapat diajukan oleh MPR.</t>
  </si>
  <si>
    <t>Apa yang dimaksud dengan "hak asasi manusia" menurut UUD 1945?</t>
  </si>
  <si>
    <t>Hak untuk memiliki kekayaan</t>
  </si>
  <si>
    <t>Hak untuk beribadah sesuai agama</t>
  </si>
  <si>
    <t>Hak untuk mendapatkan pendidikan</t>
  </si>
  <si>
    <t>Hak untuk memilih dan dipilih</t>
  </si>
  <si>
    <t>Hak untuk mendapatkan kesehatan</t>
  </si>
  <si>
    <t>Hak asasi manusia menurut UUD 1945 mencakup hak-hak dasar seperti hak untuk beribadah dan hak untuk memilih.</t>
  </si>
  <si>
    <t>Apa tujuan utama dari Amandemen I UUD 1945?</t>
  </si>
  <si>
    <t>Membentuk sistem pemerintahan yang baru</t>
  </si>
  <si>
    <t>Mengatur hak asasi manusia</t>
  </si>
  <si>
    <t>Menambahkan pasal tentang otonomi daerah</t>
  </si>
  <si>
    <t>Menetapkan struktur lembaga negara</t>
  </si>
  <si>
    <t>Menyusun sistem pemilihan umum</t>
  </si>
  <si>
    <t>Amandemen I UUD 1945 bertujuan untuk menyusun sistem lembaga negara dan pemerintahan.</t>
  </si>
  <si>
    <t>Pada tahun berapa UUD 1945 mulai mengalami perubahan amandemen pertama?</t>
  </si>
  <si>
    <t>Amandemen pertama UUD 1945 dilakukan pada tahun 1999.</t>
  </si>
  <si>
    <t>Bhineka Tunggal Ika</t>
  </si>
  <si>
    <t>Prinsip "Bhineka Tunggal Ika" dapat membantu dalam situasi konflik sosial dengan cara apa?</t>
  </si>
  <si>
    <t>Memaksakan keseragaman budaya di seluruh wilayah</t>
  </si>
  <si>
    <t>Menciptakan dialog dan saling memahami antara kelompok berbeda</t>
  </si>
  <si>
    <t>Mengabaikan konflik untuk menghindari ketegangan</t>
  </si>
  <si>
    <t>Mengisolasi kelompok-kelompok yang berbeda</t>
  </si>
  <si>
    <t>Menetapkan hukum yang ketat untuk semua kelompok</t>
  </si>
  <si>
    <t>Prinsip "Bhineka Tunggal Ika" membantu dalam situasi konflik sosial dengan menciptakan dialog dan saling memahami antara kelompok berbeda.</t>
  </si>
  <si>
    <t>Dalam konteks pemerintahan, bagaimana Bhineka Tunggal Ika dapat diwujudkan?</t>
  </si>
  <si>
    <t>Mengutamakan satu agama atau etnis sebagai dasar kebijakan</t>
  </si>
  <si>
    <t>Menjamin hak-hak semua kelompok etnis dan agama di dalam kebijakan pemerintah</t>
  </si>
  <si>
    <t>Membatasi hak kelompok minoritas untuk memastikan kesatuan</t>
  </si>
  <si>
    <t>Mengutamakan kebijakan yang mendiskriminasi kelompok tertentu</t>
  </si>
  <si>
    <t>Mengabaikan keberagaman dalam kebijakan pemerintah</t>
  </si>
  <si>
    <t>Bhineka Tunggal Ika dalam pemerintahan diwujudkan dengan menjamin hak-hak semua kelompok etnis dan agama di dalam kebijakan pemerintah.</t>
  </si>
  <si>
    <t>Apa yang harus dilakukan masyarakat untuk menjaga prinsip Bhineka Tunggal Ika?</t>
  </si>
  <si>
    <t>Mengabaikan perbedaan dan fokus pada persamaan</t>
  </si>
  <si>
    <t>Meningkatkan interaksi dan pemahaman antar kelompok yang berbeda</t>
  </si>
  <si>
    <t>Menerapkan aturan yang ketat terhadap kelompok yang berbeda</t>
  </si>
  <si>
    <t>Mengabaikan isu-isu sosial yang berpotensi memecah belah</t>
  </si>
  <si>
    <t>Mengisolasi kelompok yang tidak sesuai dengan norma mayoritas</t>
  </si>
  <si>
    <t>Masyarakat harus meningkatkan interaksi dan pemahaman antar kelompok yang berbeda untuk menjaga prinsip Bhineka Tunggal Ika.</t>
  </si>
  <si>
    <t>Apa yang dapat dilakukan pemerintah untuk mendukung prinsip Bhineka Tunggal Ika?</t>
  </si>
  <si>
    <t>Menetapkan kebijakan yang mendukung kesetaraan bagi semua kelompok</t>
  </si>
  <si>
    <t>Memfokuskan kebijakan pada satu kelompok dominan</t>
  </si>
  <si>
    <t>Mengabaikan hak-hak kelompok minoritas dalam pembuatan kebijakan</t>
  </si>
  <si>
    <t>Membatasi partisipasi kelompok tertentu dalam proses politik</t>
  </si>
  <si>
    <t>Menetapkan batasan untuk mencegah keberagaman</t>
  </si>
  <si>
    <t>Pemerintah dapat mendukung prinsip Bhineka Tunggal Ika dengan menetapkan kebijakan yang mendukung kesetaraan bagi semua kelompok.</t>
  </si>
  <si>
    <t>Apa yang harus dilakukan oleh media untuk mendukung prinsip Bhineka Tunggal Ika?</t>
  </si>
  <si>
    <t>Mempromosikan keberagaman dan toleransi</t>
  </si>
  <si>
    <t>Mengabaikan isu-isu sosial untuk menghindari konflik</t>
  </si>
  <si>
    <t>Menyebarkan informasi yang hanya mendukung satu pandangan</t>
  </si>
  <si>
    <t>Mendorong konflik antara kelompok yang berbeda</t>
  </si>
  <si>
    <t>Mengabaikan perbedaan dalam pelaporan berita</t>
  </si>
  <si>
    <t>Media harus mempromosikan keberagaman dan toleransi untuk mendukung prinsip Bhineka Tunggal Ika.</t>
  </si>
  <si>
    <t>Dalam konteks hukum, bagaimana prinsip Bhineka Tunggal Ika diterapkan?</t>
  </si>
  <si>
    <t>Menetapkan hukum yang membatasi hak kelompok minoritas</t>
  </si>
  <si>
    <t>Menetapkan hukum yang melindungi hak semua kelompok tanpa diskriminasi</t>
  </si>
  <si>
    <t>Mengabaikan hak-hak kelompok minoritas dalam pembuatan hukum</t>
  </si>
  <si>
    <t>Menerapkan kebijakan hukum yang hanya menguntungkan kelompok mayoritas</t>
  </si>
  <si>
    <t>Menetapkan batasan untuk pencegahan konflik sosial</t>
  </si>
  <si>
    <t>Prinsip Bhineka Tunggal Ika diterapkan dalam hukum dengan menetapkan hukum yang melindungi hak semua kelompok tanpa diskriminasi.</t>
  </si>
  <si>
    <t xml:space="preserve"> Negara Kesatuan Republik Indonesia (NKRI)</t>
  </si>
  <si>
    <t>Apa yang dimaksud dengan ancaman terhadap keutuhan NKRI?</t>
  </si>
  <si>
    <t>Ancaman Internal</t>
  </si>
  <si>
    <t>Ancaman Eksternal</t>
  </si>
  <si>
    <t>Ancaman Sosial</t>
  </si>
  <si>
    <t>Ancaman Ekonomi</t>
  </si>
  <si>
    <t>Ancaman Politik</t>
  </si>
  <si>
    <t>Ancaman terhadap keutuhan NKRI bisa berupa ancaman eksternal yang datang dari luar negeri.</t>
  </si>
  <si>
    <t>Apa prinsip utama dalam sistem pertahanan dan keamanan NKRI?</t>
  </si>
  <si>
    <t>Pertahanan Rakyat Semesta</t>
  </si>
  <si>
    <t>Pertahanan Terpadu</t>
  </si>
  <si>
    <t>Pertahanan Nasional</t>
  </si>
  <si>
    <t>Pertahanan Wilayah</t>
  </si>
  <si>
    <t>Pertahanan Publik</t>
  </si>
  <si>
    <t>Prinsip utama dalam sistem pertahanan dan keamanan NKRI adalah Pertahanan Rakyat Semesta (Sishankamrata).</t>
  </si>
  <si>
    <t>Apa yang menjadi tugas utama dari TNI dalam sistem pertahanan NKRI?</t>
  </si>
  <si>
    <t>Penegakan Hukum</t>
  </si>
  <si>
    <t>Pelayanan Publik</t>
  </si>
  <si>
    <t>Pendidikan</t>
  </si>
  <si>
    <t>Kesehatan</t>
  </si>
  <si>
    <t>Tugas utama TNI dalam sistem pertahanan NKRI adalah menjaga pertahanan nasional dari ancaman luar dan dalam.</t>
  </si>
  <si>
    <t>Apa yang dimaksud dengan bentuk negara kesatuan?</t>
  </si>
  <si>
    <t>Negara yang terdiri dari beberapa negara bagian</t>
  </si>
  <si>
    <t>Negara yang memiliki wilayah luas</t>
  </si>
  <si>
    <t>Negara yang memiliki pemerintah pusat</t>
  </si>
  <si>
    <t>Negara yang memiliki banyak pemerintahan lokal</t>
  </si>
  <si>
    <t>Negara yang tidak memiliki pemerintahan lokal</t>
  </si>
  <si>
    <t>Bentuk negara kesatuan adalah negara yang memiliki pemerintahan pusat dengan tidak adanya negara bagian terpisah.</t>
  </si>
  <si>
    <t>Apa tujuan utama dari sistem pertahanan dan keamanan negara?</t>
  </si>
  <si>
    <t>Melindungi kepentingan ekonomi</t>
  </si>
  <si>
    <t>Menjaga kedaulatan dan keutuhan negara</t>
  </si>
  <si>
    <t>Mengatur hubungan internasional</t>
  </si>
  <si>
    <t>Meningkatkan kesejahteraan sosial</t>
  </si>
  <si>
    <t>Membangun infrastruktur</t>
  </si>
  <si>
    <t>Tujuan utama sistem pertahanan dan keamanan negara adalah menjaga kedaulatan dan keutuhan negara.</t>
  </si>
  <si>
    <t>Apa yang dimaksud dengan ancaman terhadap keutuhan NKRI dari segi ideologi?</t>
  </si>
  <si>
    <t>Ideologi yang bertentangan dengan Pancasila</t>
  </si>
  <si>
    <t>Ketidakstabilan politik</t>
  </si>
  <si>
    <t>Konflik sosial</t>
  </si>
  <si>
    <t>Kerusuhan ekonomi</t>
  </si>
  <si>
    <t>Ancaman militer</t>
  </si>
  <si>
    <t>Ancaman ideologi adalah ideologi yang bertentangan dengan Pancasila, yang dapat mengancam keutuhan NKRI.</t>
  </si>
  <si>
    <t>Sejarah Perjuangan Bangsa</t>
  </si>
  <si>
    <t>Siapa yang dikenal sebagai pelopor pergerakan nasional dengan mendirikan Budi Utomo?</t>
  </si>
  <si>
    <t>Dr. Sutomo</t>
  </si>
  <si>
    <t>H.O.S. Tjokroaminoto</t>
  </si>
  <si>
    <t>Ki Hadjar Dewantara</t>
  </si>
  <si>
    <t>Dr. Sutomo adalah pendiri Budi Utomo pada tahun 1908, yang merupakan organisasi pergerakan nasional pertama di Indonesia.</t>
  </si>
  <si>
    <t>Apa nilai utama yang terkandung dalam Proklamasi Kemerdekaan Indonesia?</t>
  </si>
  <si>
    <t>Semangat persatuan</t>
  </si>
  <si>
    <t>Perjuangan tanpa kekerasan</t>
  </si>
  <si>
    <t>Kerjasama internasional</t>
  </si>
  <si>
    <t>Kebebasan individu</t>
  </si>
  <si>
    <t>Modernisasi ekonomi</t>
  </si>
  <si>
    <t>Proklamasi Kemerdekaan Indonesia menegaskan semangat persatuan seluruh bangsa Indonesia dalam meraih kemerdekaan dari penjajahan.</t>
  </si>
  <si>
    <t>Siapakah tokoh yang memimpin perlawanan rakyat Bali dalam Perang Puputan?</t>
  </si>
  <si>
    <t>Gusti Ngurah Rai</t>
  </si>
  <si>
    <t>I Gusti Ketut Jelantik</t>
  </si>
  <si>
    <t>I Gusti Ngurah Made Agung</t>
  </si>
  <si>
    <t>I Gusti Bagus Sugriwa</t>
  </si>
  <si>
    <t>I Gusti Made Djelantik</t>
  </si>
  <si>
    <t>Gusti Ngurah Rai adalah tokoh yang memimpin perlawanan rakyat Bali dalam Perang Puputan melawan Belanda pada tahun 1946.</t>
  </si>
  <si>
    <t>Kapan terjadi peristiwa Rengasdengklok yang menjadi awal dari Proklamasi Kemerdekaan Indonesia?</t>
  </si>
  <si>
    <t>Peristiwa Rengasdengklok terjadi pada 16 Agustus 1945, ketika Soekarno dan Hatta dibawa ke Rengasdengklok untuk mendesak proklamasi.</t>
  </si>
  <si>
    <t>Siapakah tokoh yang dikenal sebagai pemimpin perlawanan rakyat Sulawesi Selatan melawan Belanda?</t>
  </si>
  <si>
    <t>Pattimura</t>
  </si>
  <si>
    <t>Sultan Hasanuddin</t>
  </si>
  <si>
    <t>Tuanku Imam Bonjol</t>
  </si>
  <si>
    <t>Sultan Ageng Tirtayasa</t>
  </si>
  <si>
    <t>Teuku Umar</t>
  </si>
  <si>
    <t>Sultan Hasanuddin memimpin perlawanan rakyat Sulawesi Selatan melawan Belanda pada abad ke-17.</t>
  </si>
  <si>
    <t>Kapan berlangsungnya Kongres Pemuda II yang menghasilkan Sumpah Pemuda?</t>
  </si>
  <si>
    <t>27-28 Oktober 1928</t>
  </si>
  <si>
    <t>Kongres Pemuda II yang menghasilkan Sumpah Pemuda berlangsung pada 27-28 Oktober 1928 di Jakarta.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</si>
</sst>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 t="s">
        <v>14</v>
      </c>
      <c r="B2" s="2" t="s">
        <v>15</v>
      </c>
      <c r="C2" s="2" t="s">
        <v>16</v>
      </c>
      <c r="D2" s="3">
        <f t="shared" ref="D2:D13" si="1">IF(N2="A", 1, 0)</f>
        <v>1</v>
      </c>
      <c r="E2" s="2" t="s">
        <v>17</v>
      </c>
      <c r="F2" s="3">
        <f t="shared" ref="F2:F13" si="2">IF(N2="B", 1, 0)</f>
        <v>0</v>
      </c>
      <c r="G2" s="2" t="s">
        <v>18</v>
      </c>
      <c r="H2" s="3">
        <f t="shared" ref="H2:H13" si="3">IF(N2="C", 1, 0)</f>
        <v>0</v>
      </c>
      <c r="I2" s="2" t="s">
        <v>19</v>
      </c>
      <c r="J2" s="3">
        <f t="shared" ref="J2:J13" si="4">IF(N2="D", 1, 0)</f>
        <v>0</v>
      </c>
      <c r="K2" s="2" t="s">
        <v>20</v>
      </c>
      <c r="L2" s="3">
        <f t="shared" ref="L2:L13" si="5">IF(N2="E", 1, 0)</f>
        <v>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4" t="s">
        <v>23</v>
      </c>
      <c r="D3" s="3">
        <f t="shared" si="1"/>
        <v>1</v>
      </c>
      <c r="E3" s="4" t="s">
        <v>24</v>
      </c>
      <c r="F3" s="3">
        <f t="shared" si="2"/>
        <v>0</v>
      </c>
      <c r="G3" s="4" t="s">
        <v>25</v>
      </c>
      <c r="H3" s="3">
        <f t="shared" si="3"/>
        <v>0</v>
      </c>
      <c r="I3" s="4" t="s">
        <v>26</v>
      </c>
      <c r="J3" s="3">
        <f t="shared" si="4"/>
        <v>0</v>
      </c>
      <c r="K3" s="4" t="s">
        <v>27</v>
      </c>
      <c r="L3" s="3">
        <f t="shared" si="5"/>
        <v>0</v>
      </c>
      <c r="M3" s="2" t="s">
        <v>28</v>
      </c>
      <c r="N3" s="2" t="s">
        <v>2</v>
      </c>
    </row>
    <row r="4">
      <c r="A4" s="2" t="s">
        <v>14</v>
      </c>
      <c r="B4" s="2" t="s">
        <v>29</v>
      </c>
      <c r="C4" s="2" t="s">
        <v>30</v>
      </c>
      <c r="D4" s="3">
        <f t="shared" si="1"/>
        <v>1</v>
      </c>
      <c r="E4" s="2" t="s">
        <v>31</v>
      </c>
      <c r="F4" s="3">
        <f t="shared" si="2"/>
        <v>0</v>
      </c>
      <c r="G4" s="2" t="s">
        <v>32</v>
      </c>
      <c r="H4" s="3">
        <f t="shared" si="3"/>
        <v>0</v>
      </c>
      <c r="I4" s="2" t="s">
        <v>33</v>
      </c>
      <c r="J4" s="3">
        <f t="shared" si="4"/>
        <v>0</v>
      </c>
      <c r="K4" s="2" t="s">
        <v>34</v>
      </c>
      <c r="L4" s="3">
        <f t="shared" si="5"/>
        <v>0</v>
      </c>
      <c r="M4" s="2" t="s">
        <v>35</v>
      </c>
      <c r="N4" s="2" t="s">
        <v>2</v>
      </c>
    </row>
    <row r="5">
      <c r="A5" s="2" t="s">
        <v>14</v>
      </c>
      <c r="B5" s="2" t="s">
        <v>36</v>
      </c>
      <c r="C5" s="2" t="s">
        <v>37</v>
      </c>
      <c r="D5" s="3">
        <f t="shared" si="1"/>
        <v>0</v>
      </c>
      <c r="E5" s="2" t="s">
        <v>38</v>
      </c>
      <c r="F5" s="3">
        <f t="shared" si="2"/>
        <v>0</v>
      </c>
      <c r="G5" s="2" t="s">
        <v>39</v>
      </c>
      <c r="H5" s="3">
        <f t="shared" si="3"/>
        <v>0</v>
      </c>
      <c r="I5" s="2" t="s">
        <v>40</v>
      </c>
      <c r="J5" s="3">
        <f t="shared" si="4"/>
        <v>0</v>
      </c>
      <c r="K5" s="2" t="s">
        <v>41</v>
      </c>
      <c r="L5" s="3">
        <f t="shared" si="5"/>
        <v>1</v>
      </c>
      <c r="M5" s="2" t="s">
        <v>42</v>
      </c>
      <c r="N5" s="2" t="s">
        <v>10</v>
      </c>
    </row>
    <row r="6">
      <c r="A6" s="2" t="s">
        <v>14</v>
      </c>
      <c r="B6" s="2" t="s">
        <v>43</v>
      </c>
      <c r="C6" s="2" t="s">
        <v>44</v>
      </c>
      <c r="D6" s="3">
        <f t="shared" si="1"/>
        <v>1</v>
      </c>
      <c r="E6" s="2" t="s">
        <v>45</v>
      </c>
      <c r="F6" s="3">
        <f t="shared" si="2"/>
        <v>0</v>
      </c>
      <c r="G6" s="2" t="s">
        <v>46</v>
      </c>
      <c r="H6" s="3">
        <f t="shared" si="3"/>
        <v>0</v>
      </c>
      <c r="I6" s="2" t="s">
        <v>47</v>
      </c>
      <c r="J6" s="3">
        <f t="shared" si="4"/>
        <v>0</v>
      </c>
      <c r="K6" s="2" t="s">
        <v>48</v>
      </c>
      <c r="L6" s="3">
        <f t="shared" si="5"/>
        <v>0</v>
      </c>
      <c r="M6" s="2" t="s">
        <v>49</v>
      </c>
      <c r="N6" s="2" t="s">
        <v>2</v>
      </c>
    </row>
    <row r="7">
      <c r="A7" s="2" t="s">
        <v>14</v>
      </c>
      <c r="B7" s="2" t="s">
        <v>50</v>
      </c>
      <c r="C7" s="2" t="s">
        <v>51</v>
      </c>
      <c r="D7" s="3">
        <f t="shared" si="1"/>
        <v>0</v>
      </c>
      <c r="E7" s="2" t="s">
        <v>52</v>
      </c>
      <c r="F7" s="3">
        <f t="shared" si="2"/>
        <v>1</v>
      </c>
      <c r="G7" s="2" t="s">
        <v>53</v>
      </c>
      <c r="H7" s="3">
        <f t="shared" si="3"/>
        <v>0</v>
      </c>
      <c r="I7" s="2" t="s">
        <v>54</v>
      </c>
      <c r="J7" s="3">
        <f t="shared" si="4"/>
        <v>0</v>
      </c>
      <c r="K7" s="2" t="s">
        <v>55</v>
      </c>
      <c r="L7" s="3">
        <f t="shared" si="5"/>
        <v>0</v>
      </c>
      <c r="M7" s="2" t="s">
        <v>56</v>
      </c>
      <c r="N7" s="2" t="s">
        <v>4</v>
      </c>
    </row>
    <row r="8">
      <c r="A8" s="2" t="s">
        <v>17</v>
      </c>
      <c r="B8" s="2" t="s">
        <v>57</v>
      </c>
      <c r="C8" s="2" t="s">
        <v>58</v>
      </c>
      <c r="D8" s="3">
        <f t="shared" si="1"/>
        <v>1</v>
      </c>
      <c r="E8" s="2" t="s">
        <v>59</v>
      </c>
      <c r="F8" s="3">
        <f t="shared" si="2"/>
        <v>0</v>
      </c>
      <c r="G8" s="2" t="s">
        <v>60</v>
      </c>
      <c r="H8" s="3">
        <f t="shared" si="3"/>
        <v>0</v>
      </c>
      <c r="I8" s="2" t="s">
        <v>61</v>
      </c>
      <c r="J8" s="3">
        <f t="shared" si="4"/>
        <v>0</v>
      </c>
      <c r="K8" s="2" t="s">
        <v>62</v>
      </c>
      <c r="L8" s="3">
        <f t="shared" si="5"/>
        <v>0</v>
      </c>
      <c r="M8" s="2" t="s">
        <v>63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 t="s">
        <v>17</v>
      </c>
      <c r="B9" s="2" t="s">
        <v>64</v>
      </c>
      <c r="C9" s="2" t="s">
        <v>65</v>
      </c>
      <c r="D9" s="3">
        <f t="shared" si="1"/>
        <v>1</v>
      </c>
      <c r="E9" s="2" t="s">
        <v>66</v>
      </c>
      <c r="F9" s="3">
        <f t="shared" si="2"/>
        <v>0</v>
      </c>
      <c r="G9" s="2" t="s">
        <v>67</v>
      </c>
      <c r="H9" s="3">
        <f t="shared" si="3"/>
        <v>0</v>
      </c>
      <c r="I9" s="2" t="s">
        <v>68</v>
      </c>
      <c r="J9" s="3">
        <f t="shared" si="4"/>
        <v>0</v>
      </c>
      <c r="K9" s="2" t="s">
        <v>69</v>
      </c>
      <c r="L9" s="3">
        <f t="shared" si="5"/>
        <v>0</v>
      </c>
      <c r="M9" s="2" t="s">
        <v>70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 t="s">
        <v>17</v>
      </c>
      <c r="B10" s="2" t="s">
        <v>71</v>
      </c>
      <c r="C10" s="2" t="s">
        <v>72</v>
      </c>
      <c r="D10" s="3">
        <f t="shared" si="1"/>
        <v>0</v>
      </c>
      <c r="E10" s="2" t="s">
        <v>73</v>
      </c>
      <c r="F10" s="3">
        <f t="shared" si="2"/>
        <v>0</v>
      </c>
      <c r="G10" s="2" t="s">
        <v>74</v>
      </c>
      <c r="H10" s="3">
        <f t="shared" si="3"/>
        <v>1</v>
      </c>
      <c r="I10" s="2" t="s">
        <v>75</v>
      </c>
      <c r="J10" s="3">
        <f t="shared" si="4"/>
        <v>0</v>
      </c>
      <c r="K10" s="2" t="s">
        <v>76</v>
      </c>
      <c r="L10" s="3">
        <f t="shared" si="5"/>
        <v>0</v>
      </c>
      <c r="M10" s="2" t="s">
        <v>77</v>
      </c>
      <c r="N10" s="2" t="s"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 t="s">
        <v>17</v>
      </c>
      <c r="B11" s="2" t="s">
        <v>78</v>
      </c>
      <c r="C11" s="2" t="s">
        <v>79</v>
      </c>
      <c r="D11" s="3">
        <f t="shared" si="1"/>
        <v>0</v>
      </c>
      <c r="E11" s="2" t="s">
        <v>80</v>
      </c>
      <c r="F11" s="3">
        <f t="shared" si="2"/>
        <v>1</v>
      </c>
      <c r="G11" s="2" t="s">
        <v>81</v>
      </c>
      <c r="H11" s="3">
        <f t="shared" si="3"/>
        <v>0</v>
      </c>
      <c r="I11" s="2" t="s">
        <v>82</v>
      </c>
      <c r="J11" s="3">
        <f t="shared" si="4"/>
        <v>0</v>
      </c>
      <c r="K11" s="2" t="s">
        <v>83</v>
      </c>
      <c r="L11" s="3">
        <f t="shared" si="5"/>
        <v>0</v>
      </c>
      <c r="M11" s="2" t="s">
        <v>84</v>
      </c>
      <c r="N11" s="2" t="s">
        <v>4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 t="s">
        <v>17</v>
      </c>
      <c r="B12" s="2" t="s">
        <v>85</v>
      </c>
      <c r="C12" s="2" t="s">
        <v>86</v>
      </c>
      <c r="D12" s="3">
        <f t="shared" si="1"/>
        <v>0</v>
      </c>
      <c r="E12" s="2" t="s">
        <v>87</v>
      </c>
      <c r="F12" s="3">
        <f t="shared" si="2"/>
        <v>0</v>
      </c>
      <c r="G12" s="2" t="s">
        <v>88</v>
      </c>
      <c r="H12" s="3">
        <f t="shared" si="3"/>
        <v>0</v>
      </c>
      <c r="I12" s="2" t="s">
        <v>89</v>
      </c>
      <c r="J12" s="3">
        <f t="shared" si="4"/>
        <v>1</v>
      </c>
      <c r="K12" s="2" t="s">
        <v>90</v>
      </c>
      <c r="L12" s="3">
        <f t="shared" si="5"/>
        <v>0</v>
      </c>
      <c r="M12" s="2" t="s">
        <v>91</v>
      </c>
      <c r="N12" s="2" t="s"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 t="s">
        <v>17</v>
      </c>
      <c r="B13" s="2" t="s">
        <v>92</v>
      </c>
      <c r="C13" s="3">
        <v>1999.0</v>
      </c>
      <c r="D13" s="3">
        <f t="shared" si="1"/>
        <v>1</v>
      </c>
      <c r="E13" s="3">
        <v>2002.0</v>
      </c>
      <c r="F13" s="3">
        <f t="shared" si="2"/>
        <v>0</v>
      </c>
      <c r="G13" s="3">
        <v>2004.0</v>
      </c>
      <c r="H13" s="3">
        <f t="shared" si="3"/>
        <v>0</v>
      </c>
      <c r="I13" s="3">
        <v>2005.0</v>
      </c>
      <c r="J13" s="3">
        <f t="shared" si="4"/>
        <v>0</v>
      </c>
      <c r="K13" s="3">
        <v>2001.0</v>
      </c>
      <c r="L13" s="3">
        <f t="shared" si="5"/>
        <v>0</v>
      </c>
      <c r="M13" s="2" t="s">
        <v>93</v>
      </c>
      <c r="N13" s="2" t="s">
        <v>2</v>
      </c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 t="s">
        <v>94</v>
      </c>
      <c r="B14" s="2" t="s">
        <v>95</v>
      </c>
      <c r="C14" s="2" t="s">
        <v>96</v>
      </c>
      <c r="D14" s="3">
        <v>0.0</v>
      </c>
      <c r="E14" s="2" t="s">
        <v>97</v>
      </c>
      <c r="F14" s="3">
        <v>1.0</v>
      </c>
      <c r="G14" s="2" t="s">
        <v>98</v>
      </c>
      <c r="H14" s="3">
        <v>0.0</v>
      </c>
      <c r="I14" s="2" t="s">
        <v>99</v>
      </c>
      <c r="J14" s="3">
        <v>0.0</v>
      </c>
      <c r="K14" s="2" t="s">
        <v>100</v>
      </c>
      <c r="L14" s="3">
        <v>0.0</v>
      </c>
      <c r="M14" s="2" t="s">
        <v>101</v>
      </c>
      <c r="N14" s="2" t="s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 t="s">
        <v>94</v>
      </c>
      <c r="B15" s="2" t="s">
        <v>102</v>
      </c>
      <c r="C15" s="2" t="s">
        <v>103</v>
      </c>
      <c r="D15" s="3">
        <v>0.0</v>
      </c>
      <c r="E15" s="2" t="s">
        <v>104</v>
      </c>
      <c r="F15" s="3">
        <v>1.0</v>
      </c>
      <c r="G15" s="2" t="s">
        <v>105</v>
      </c>
      <c r="H15" s="3">
        <v>0.0</v>
      </c>
      <c r="I15" s="2" t="s">
        <v>106</v>
      </c>
      <c r="J15" s="3">
        <v>0.0</v>
      </c>
      <c r="K15" s="2" t="s">
        <v>107</v>
      </c>
      <c r="L15" s="3">
        <v>0.0</v>
      </c>
      <c r="M15" s="2" t="s">
        <v>108</v>
      </c>
      <c r="N15" s="2" t="s">
        <v>4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 t="s">
        <v>94</v>
      </c>
      <c r="B16" s="2" t="s">
        <v>109</v>
      </c>
      <c r="C16" s="2" t="s">
        <v>110</v>
      </c>
      <c r="D16" s="3">
        <v>0.0</v>
      </c>
      <c r="E16" s="2" t="s">
        <v>111</v>
      </c>
      <c r="F16" s="3">
        <v>1.0</v>
      </c>
      <c r="G16" s="2" t="s">
        <v>112</v>
      </c>
      <c r="H16" s="3">
        <v>0.0</v>
      </c>
      <c r="I16" s="2" t="s">
        <v>113</v>
      </c>
      <c r="J16" s="3">
        <v>0.0</v>
      </c>
      <c r="K16" s="2" t="s">
        <v>114</v>
      </c>
      <c r="L16" s="3">
        <v>0.0</v>
      </c>
      <c r="M16" s="2" t="s">
        <v>115</v>
      </c>
      <c r="N16" s="2" t="s">
        <v>4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 t="s">
        <v>94</v>
      </c>
      <c r="B17" s="2" t="s">
        <v>116</v>
      </c>
      <c r="C17" s="2" t="s">
        <v>117</v>
      </c>
      <c r="D17" s="3">
        <v>1.0</v>
      </c>
      <c r="E17" s="2" t="s">
        <v>118</v>
      </c>
      <c r="F17" s="3">
        <v>0.0</v>
      </c>
      <c r="G17" s="2" t="s">
        <v>119</v>
      </c>
      <c r="H17" s="3">
        <v>0.0</v>
      </c>
      <c r="I17" s="2" t="s">
        <v>120</v>
      </c>
      <c r="J17" s="3">
        <v>0.0</v>
      </c>
      <c r="K17" s="2" t="s">
        <v>121</v>
      </c>
      <c r="L17" s="3">
        <v>0.0</v>
      </c>
      <c r="M17" s="2" t="s">
        <v>122</v>
      </c>
      <c r="N17" s="2" t="s">
        <v>2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 t="s">
        <v>94</v>
      </c>
      <c r="B18" s="2" t="s">
        <v>123</v>
      </c>
      <c r="C18" s="2" t="s">
        <v>124</v>
      </c>
      <c r="D18" s="3">
        <v>1.0</v>
      </c>
      <c r="E18" s="2" t="s">
        <v>125</v>
      </c>
      <c r="F18" s="3">
        <v>0.0</v>
      </c>
      <c r="G18" s="2" t="s">
        <v>126</v>
      </c>
      <c r="H18" s="3">
        <v>0.0</v>
      </c>
      <c r="I18" s="2" t="s">
        <v>127</v>
      </c>
      <c r="J18" s="3">
        <v>0.0</v>
      </c>
      <c r="K18" s="2" t="s">
        <v>128</v>
      </c>
      <c r="L18" s="3">
        <v>0.0</v>
      </c>
      <c r="M18" s="2" t="s">
        <v>129</v>
      </c>
      <c r="N18" s="2" t="s">
        <v>2</v>
      </c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 t="s">
        <v>94</v>
      </c>
      <c r="B19" s="2" t="s">
        <v>130</v>
      </c>
      <c r="C19" s="2" t="s">
        <v>131</v>
      </c>
      <c r="D19" s="3">
        <v>0.0</v>
      </c>
      <c r="E19" s="2" t="s">
        <v>132</v>
      </c>
      <c r="F19" s="3">
        <v>1.0</v>
      </c>
      <c r="G19" s="2" t="s">
        <v>133</v>
      </c>
      <c r="H19" s="3">
        <v>0.0</v>
      </c>
      <c r="I19" s="2" t="s">
        <v>134</v>
      </c>
      <c r="J19" s="3">
        <v>0.0</v>
      </c>
      <c r="K19" s="2" t="s">
        <v>135</v>
      </c>
      <c r="L19" s="3">
        <v>0.0</v>
      </c>
      <c r="M19" s="2" t="s">
        <v>136</v>
      </c>
      <c r="N19" s="2" t="s">
        <v>4</v>
      </c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 t="s">
        <v>137</v>
      </c>
      <c r="B20" s="2" t="s">
        <v>138</v>
      </c>
      <c r="C20" s="2" t="s">
        <v>139</v>
      </c>
      <c r="D20" s="3">
        <v>0.0</v>
      </c>
      <c r="E20" s="2" t="s">
        <v>140</v>
      </c>
      <c r="F20" s="3">
        <v>1.0</v>
      </c>
      <c r="G20" s="2" t="s">
        <v>141</v>
      </c>
      <c r="H20" s="3">
        <v>0.0</v>
      </c>
      <c r="I20" s="2" t="s">
        <v>142</v>
      </c>
      <c r="J20" s="3">
        <v>0.0</v>
      </c>
      <c r="K20" s="2" t="s">
        <v>143</v>
      </c>
      <c r="L20" s="3">
        <v>0.0</v>
      </c>
      <c r="M20" s="2" t="s">
        <v>144</v>
      </c>
      <c r="N20" s="2" t="s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 t="s">
        <v>137</v>
      </c>
      <c r="B21" s="2" t="s">
        <v>145</v>
      </c>
      <c r="C21" s="2" t="s">
        <v>146</v>
      </c>
      <c r="D21" s="3">
        <v>1.0</v>
      </c>
      <c r="E21" s="2" t="s">
        <v>147</v>
      </c>
      <c r="F21" s="3">
        <v>0.0</v>
      </c>
      <c r="G21" s="2" t="s">
        <v>148</v>
      </c>
      <c r="H21" s="3">
        <v>0.0</v>
      </c>
      <c r="I21" s="2" t="s">
        <v>149</v>
      </c>
      <c r="J21" s="3">
        <v>0.0</v>
      </c>
      <c r="K21" s="2" t="s">
        <v>150</v>
      </c>
      <c r="L21" s="3">
        <v>0.0</v>
      </c>
      <c r="M21" s="2" t="s">
        <v>151</v>
      </c>
      <c r="N21" s="2" t="s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 t="s">
        <v>137</v>
      </c>
      <c r="B22" s="2" t="s">
        <v>152</v>
      </c>
      <c r="C22" s="2" t="s">
        <v>148</v>
      </c>
      <c r="D22" s="3">
        <v>1.0</v>
      </c>
      <c r="E22" s="2" t="s">
        <v>153</v>
      </c>
      <c r="F22" s="3">
        <v>0.0</v>
      </c>
      <c r="G22" s="2" t="s">
        <v>154</v>
      </c>
      <c r="H22" s="3">
        <v>0.0</v>
      </c>
      <c r="I22" s="2" t="s">
        <v>155</v>
      </c>
      <c r="J22" s="3">
        <v>0.0</v>
      </c>
      <c r="K22" s="2" t="s">
        <v>156</v>
      </c>
      <c r="L22" s="3">
        <v>0.0</v>
      </c>
      <c r="M22" s="2" t="s">
        <v>157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 t="s">
        <v>137</v>
      </c>
      <c r="B23" s="2" t="s">
        <v>158</v>
      </c>
      <c r="C23" s="2" t="s">
        <v>159</v>
      </c>
      <c r="D23" s="3">
        <v>0.0</v>
      </c>
      <c r="E23" s="2" t="s">
        <v>160</v>
      </c>
      <c r="F23" s="3">
        <v>0.0</v>
      </c>
      <c r="G23" s="2" t="s">
        <v>161</v>
      </c>
      <c r="H23" s="3">
        <v>1.0</v>
      </c>
      <c r="I23" s="2" t="s">
        <v>162</v>
      </c>
      <c r="J23" s="3">
        <v>0.0</v>
      </c>
      <c r="K23" s="2" t="s">
        <v>163</v>
      </c>
      <c r="L23" s="3">
        <v>0.0</v>
      </c>
      <c r="M23" s="2" t="s">
        <v>164</v>
      </c>
      <c r="N23" s="2" t="s">
        <v>6</v>
      </c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 t="s">
        <v>137</v>
      </c>
      <c r="B24" s="2" t="s">
        <v>165</v>
      </c>
      <c r="C24" s="2" t="s">
        <v>166</v>
      </c>
      <c r="D24" s="3">
        <v>0.0</v>
      </c>
      <c r="E24" s="2" t="s">
        <v>167</v>
      </c>
      <c r="F24" s="3">
        <v>1.0</v>
      </c>
      <c r="G24" s="2" t="s">
        <v>168</v>
      </c>
      <c r="H24" s="3">
        <v>0.0</v>
      </c>
      <c r="I24" s="2" t="s">
        <v>169</v>
      </c>
      <c r="J24" s="3">
        <v>0.0</v>
      </c>
      <c r="K24" s="2" t="s">
        <v>170</v>
      </c>
      <c r="L24" s="3">
        <v>0.0</v>
      </c>
      <c r="M24" s="2" t="s">
        <v>171</v>
      </c>
      <c r="N24" s="2" t="s">
        <v>4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 t="s">
        <v>137</v>
      </c>
      <c r="B25" s="2" t="s">
        <v>172</v>
      </c>
      <c r="C25" s="2" t="s">
        <v>173</v>
      </c>
      <c r="D25" s="3">
        <v>1.0</v>
      </c>
      <c r="E25" s="2" t="s">
        <v>174</v>
      </c>
      <c r="F25" s="3">
        <v>0.0</v>
      </c>
      <c r="G25" s="2" t="s">
        <v>175</v>
      </c>
      <c r="H25" s="3">
        <v>0.0</v>
      </c>
      <c r="I25" s="2" t="s">
        <v>176</v>
      </c>
      <c r="J25" s="3">
        <v>0.0</v>
      </c>
      <c r="K25" s="2" t="s">
        <v>177</v>
      </c>
      <c r="L25" s="3">
        <v>0.0</v>
      </c>
      <c r="M25" s="2" t="s">
        <v>178</v>
      </c>
      <c r="N25" s="2" t="s">
        <v>2</v>
      </c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 t="s">
        <v>179</v>
      </c>
      <c r="B26" s="2" t="s">
        <v>180</v>
      </c>
      <c r="C26" s="2" t="s">
        <v>181</v>
      </c>
      <c r="D26" s="3">
        <v>1.0</v>
      </c>
      <c r="E26" s="2" t="s">
        <v>182</v>
      </c>
      <c r="F26" s="3">
        <v>0.0</v>
      </c>
      <c r="G26" s="2" t="s">
        <v>183</v>
      </c>
      <c r="H26" s="3">
        <v>0.0</v>
      </c>
      <c r="I26" s="2" t="s">
        <v>53</v>
      </c>
      <c r="J26" s="3">
        <v>0.0</v>
      </c>
      <c r="K26" s="2" t="s">
        <v>54</v>
      </c>
      <c r="L26" s="3">
        <v>0.0</v>
      </c>
      <c r="M26" s="2" t="s">
        <v>184</v>
      </c>
      <c r="N26" s="2" t="s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 t="s">
        <v>179</v>
      </c>
      <c r="B27" s="2" t="s">
        <v>185</v>
      </c>
      <c r="C27" s="2" t="s">
        <v>186</v>
      </c>
      <c r="D27" s="3">
        <v>1.0</v>
      </c>
      <c r="E27" s="2" t="s">
        <v>187</v>
      </c>
      <c r="F27" s="3">
        <v>0.0</v>
      </c>
      <c r="G27" s="2" t="s">
        <v>188</v>
      </c>
      <c r="H27" s="3">
        <v>0.0</v>
      </c>
      <c r="I27" s="2" t="s">
        <v>189</v>
      </c>
      <c r="J27" s="3">
        <v>0.0</v>
      </c>
      <c r="K27" s="2" t="s">
        <v>190</v>
      </c>
      <c r="L27" s="3">
        <v>0.0</v>
      </c>
      <c r="M27" s="2" t="s">
        <v>191</v>
      </c>
      <c r="N27" s="2" t="s">
        <v>2</v>
      </c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 t="s">
        <v>179</v>
      </c>
      <c r="B28" s="2" t="s">
        <v>192</v>
      </c>
      <c r="C28" s="2" t="s">
        <v>193</v>
      </c>
      <c r="D28" s="3">
        <v>1.0</v>
      </c>
      <c r="E28" s="2" t="s">
        <v>194</v>
      </c>
      <c r="F28" s="3">
        <v>0.0</v>
      </c>
      <c r="G28" s="2" t="s">
        <v>195</v>
      </c>
      <c r="H28" s="3">
        <v>0.0</v>
      </c>
      <c r="I28" s="2" t="s">
        <v>196</v>
      </c>
      <c r="J28" s="3">
        <v>0.0</v>
      </c>
      <c r="K28" s="2" t="s">
        <v>197</v>
      </c>
      <c r="L28" s="3">
        <v>0.0</v>
      </c>
      <c r="M28" s="2" t="s">
        <v>198</v>
      </c>
      <c r="N28" s="2" t="s">
        <v>2</v>
      </c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 t="s">
        <v>179</v>
      </c>
      <c r="B29" s="2" t="s">
        <v>199</v>
      </c>
      <c r="C29" s="5">
        <v>16663.0</v>
      </c>
      <c r="D29" s="3">
        <v>0.0</v>
      </c>
      <c r="E29" s="5">
        <v>16665.0</v>
      </c>
      <c r="F29" s="3">
        <v>1.0</v>
      </c>
      <c r="G29" s="5">
        <v>16666.0</v>
      </c>
      <c r="H29" s="3">
        <v>0.0</v>
      </c>
      <c r="I29" s="5">
        <v>16667.0</v>
      </c>
      <c r="J29" s="3">
        <v>0.0</v>
      </c>
      <c r="K29" s="5">
        <v>16668.0</v>
      </c>
      <c r="L29" s="3">
        <v>0.0</v>
      </c>
      <c r="M29" s="2" t="s">
        <v>200</v>
      </c>
      <c r="N29" s="2" t="s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 t="s">
        <v>179</v>
      </c>
      <c r="B30" s="2" t="s">
        <v>201</v>
      </c>
      <c r="C30" s="2" t="s">
        <v>202</v>
      </c>
      <c r="D30" s="3">
        <v>0.0</v>
      </c>
      <c r="E30" s="2" t="s">
        <v>203</v>
      </c>
      <c r="F30" s="3">
        <v>1.0</v>
      </c>
      <c r="G30" s="2" t="s">
        <v>204</v>
      </c>
      <c r="H30" s="3">
        <v>0.0</v>
      </c>
      <c r="I30" s="2" t="s">
        <v>205</v>
      </c>
      <c r="J30" s="3">
        <v>0.0</v>
      </c>
      <c r="K30" s="2" t="s">
        <v>206</v>
      </c>
      <c r="L30" s="3">
        <v>0.0</v>
      </c>
      <c r="M30" s="2" t="s">
        <v>207</v>
      </c>
      <c r="N30" s="2" t="s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 t="s">
        <v>179</v>
      </c>
      <c r="B31" s="2" t="s">
        <v>208</v>
      </c>
      <c r="C31" s="2" t="s">
        <v>209</v>
      </c>
      <c r="D31" s="3">
        <v>1.0</v>
      </c>
      <c r="E31" s="5">
        <v>3063.0</v>
      </c>
      <c r="F31" s="3">
        <v>0.0</v>
      </c>
      <c r="G31" s="5">
        <v>16666.0</v>
      </c>
      <c r="H31" s="3">
        <v>0.0</v>
      </c>
      <c r="I31" s="5">
        <v>16589.0</v>
      </c>
      <c r="J31" s="3">
        <v>0.0</v>
      </c>
      <c r="K31" s="5">
        <v>16667.0</v>
      </c>
      <c r="L31" s="3">
        <v>0.0</v>
      </c>
      <c r="M31" s="2" t="s">
        <v>210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drawing r:id="rId1"/>
</worksheet>
</file>