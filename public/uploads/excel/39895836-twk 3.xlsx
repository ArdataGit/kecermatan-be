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<sst xmlns="http://schemas.openxmlformats.org/spreadsheetml/2006/main" count="284" uniqueCount="218">
  <si>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</si>
  <si>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</si>
  <si>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</si>
  <si>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</si>
  <si>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</si>
  <si>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</si>
  <si>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</si>
  <si>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</si>
  <si>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</si>
  <si>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</si>
  <si>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</si>
  <si>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</si>
  <si>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</si>
  <si>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</si>
  <si>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</si>
  <si>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Sila keempat Pancasila mengajarkan pentingnya...?</t>
  </si>
  <si>
    <t>Demokrasi</t>
  </si>
  <si>
    <t>Keadilan Sosial</t>
  </si>
  <si>
    <t>Musyawarah Mufakat</t>
  </si>
  <si>
    <t>Kebebasan Pers</t>
  </si>
  <si>
    <t>Kesetaraan Gender</t>
  </si>
  <si>
    <t>Musyawarah mufakat adalah nilai yang ditekankan dalam sila keempat Pancasila sebagai cara pengambilan keputusan untuk mencapai kesejahteraan bersama.</t>
  </si>
  <si>
    <t>Apa tujuan dari sila kelima Pancasila, "Keadilan Sosial bagi Seluruh Rakyat Indonesia"?</t>
  </si>
  <si>
    <t>Menciptakan kesejahteraan sosial yang merata</t>
  </si>
  <si>
    <t>Mengutamakan kebebasan individu</t>
  </si>
  <si>
    <t>Memperkuat persatuan nasional</t>
  </si>
  <si>
    <t>Menegakkan supremasi hukum</t>
  </si>
  <si>
    <t>Memperkuat hubungan internasional</t>
  </si>
  <si>
    <t>Sila kelima Pancasila bertujuan menciptakan kesejahteraan sosial yang merata bagi seluruh rakyat Indonesia tanpa diskriminasi.</t>
  </si>
  <si>
    <t>Apa yang dimaksud dengan ancaman ideologis terhadap Pancasila?</t>
  </si>
  <si>
    <t>Penyebaran paham yang bertentangan dengan Pancasila</t>
  </si>
  <si>
    <t>Kekurangan sumber daya alam</t>
  </si>
  <si>
    <t>Meningkatnya jumlah penduduk</t>
  </si>
  <si>
    <t>Kesenjangan ekonomi</t>
  </si>
  <si>
    <t>Peningkatan teknologi</t>
  </si>
  <si>
    <t>Ancaman ideologis terhadap Pancasila adalah penyebaran paham-paham yang bertentangan dengan nilai-nilai dasar Pancasila.</t>
  </si>
  <si>
    <t>Mengapa penting bagi masyarakat Indonesia untuk memahami sejarah perumusan Pancasila?</t>
  </si>
  <si>
    <t>Agar dapat menjaga dan mengimplementasikan nilai-nilai Pancasila</t>
  </si>
  <si>
    <t>Untuk menghindari pengaruh asing</t>
  </si>
  <si>
    <t>Untuk meningkatkan daya saing ekonomi nasional</t>
  </si>
  <si>
    <t>Agar dapat mengikuti arus globalisasi</t>
  </si>
  <si>
    <t>Untuk memperkuat hubungan diplomatik</t>
  </si>
  <si>
    <t>Memahami sejarah perumusan Pancasila penting agar masyarakat dapat menjaga dan mengimplementasikan nilai-nilai Pancasila dalam kehidupan sehari-hari.</t>
  </si>
  <si>
    <t>Bagaimana cara yang tepat untuk mengimplementasikan sila ketiga Pancasila dalam kehidupan berbangsa dan bernegara?</t>
  </si>
  <si>
    <t>Mengutamakan persatuan dan kesatuan dalam berbagai aspek kehidupan</t>
  </si>
  <si>
    <t>Mementingkan kepentingan pribadi</t>
  </si>
  <si>
    <t>Mengedepankan persaingan antar daerah</t>
  </si>
  <si>
    <t>Mengabaikan perbedaan budaya</t>
  </si>
  <si>
    <t>Mengutamakan kepentingan golongan tertentu</t>
  </si>
  <si>
    <t>Mengimplementasikan sila ketiga Pancasila dilakukan dengan mengutamakan persatuan dan kesatuan dalam berbagai aspek kehidupan.</t>
  </si>
  <si>
    <t>Siapakah tokoh yang dikenal sebagai arsitek utama dalam perumusan Pancasila?</t>
  </si>
  <si>
    <t>Soekarno</t>
  </si>
  <si>
    <t>Mohammad Yamin</t>
  </si>
  <si>
    <t>Soepomo</t>
  </si>
  <si>
    <t>Ki Hadjar Dewantara</t>
  </si>
  <si>
    <t>Haji Agus Salim</t>
  </si>
  <si>
    <t>Soekarno dikenal sebagai arsitek utama dalam perumusan Pancasila yang disampaikan pada sidang BPUPKI pada tanggal 1 Juni 1945.</t>
  </si>
  <si>
    <t>Undang-Undang Dasar 1945</t>
  </si>
  <si>
    <t>Apa yang diatur dalam Pasal 28 UUD 1945?</t>
  </si>
  <si>
    <t>Hak untuk berserikat dan berkumpul</t>
  </si>
  <si>
    <t>Hak atas pendidikan</t>
  </si>
  <si>
    <t>Hak untuk bekerja</t>
  </si>
  <si>
    <t>Hak atas perlakuan yang sama di hadapan hukum</t>
  </si>
  <si>
    <t>Hak atas kesehatan</t>
  </si>
  <si>
    <t>Pasal 28 UUD 1945 mengatur hak untuk berserikat dan berkumpul.</t>
  </si>
  <si>
    <t>Siapa yang berwenang menetapkan perubahan dan penambahan UUD 1945 setelah amandemen?</t>
  </si>
  <si>
    <t>MPR</t>
  </si>
  <si>
    <t>Presiden</t>
  </si>
  <si>
    <t>DPR</t>
  </si>
  <si>
    <t>MA</t>
  </si>
  <si>
    <t>DPD</t>
  </si>
  <si>
    <t>MPR adalah lembaga yang berwenang menetapkan perubahan dan penambahan UUD 1945.</t>
  </si>
  <si>
    <t>Pada amandemen UUD 1945 keempat, apa yang diatur mengenai kekuasaan kehakiman?</t>
  </si>
  <si>
    <t>Penambahan kekuasaan Presiden</t>
  </si>
  <si>
    <t>Pembentukan Mahkamah Konstitusi</t>
  </si>
  <si>
    <t>Pengaturan otonomi daerah</t>
  </si>
  <si>
    <t>Pengaturan hubungan antar lembaga negara</t>
  </si>
  <si>
    <t>Pembentukan lembaga baru</t>
  </si>
  <si>
    <t>Amandemen keempat mengatur tentang pembentukan Mahkamah Konstitusi.</t>
  </si>
  <si>
    <t>Apa isi dari Pasal 18 UUD 1945 mengenai daerah otonom?</t>
  </si>
  <si>
    <t>Pembentukan lembaga tinggi negara</t>
  </si>
  <si>
    <t>Pembagian kekuasaan eksekutif</t>
  </si>
  <si>
    <t>Pembentukan daerah otonom</t>
  </si>
  <si>
    <t>Pengaturan keuangan negara</t>
  </si>
  <si>
    <t>Pasal 18 UUD 1945 mengatur tentang pembentukan daerah otonom.</t>
  </si>
  <si>
    <t>Siapa yang memiliki hak untuk mengusulkan perubahan UUD 1945 menurut UUD itu sendiri?</t>
  </si>
  <si>
    <t>MPR memiliki hak untuk mengusulkan perubahan UUD 1945.</t>
  </si>
  <si>
    <t>Apa yang menjadi dasar dari sistem pemerintahan dalam UUD 1945?</t>
  </si>
  <si>
    <t>Demokrasi Pancasila</t>
  </si>
  <si>
    <t>Demokrasi Liberal</t>
  </si>
  <si>
    <t>Monarki</t>
  </si>
  <si>
    <t>Republik</t>
  </si>
  <si>
    <t>Sosialisme</t>
  </si>
  <si>
    <t>Sistem pemerintahan dalam UUD 1945 berdasarkan demokrasi Pancasila.</t>
  </si>
  <si>
    <t>Bhineka Tunggal Ika</t>
  </si>
  <si>
    <t>Apa peran pendidikan dalam menjaga prinsip Bhineka Tunggal Ika di masa depan?</t>
  </si>
  <si>
    <t>Mengajarkan budaya dan nilai-nilai homogen</t>
  </si>
  <si>
    <t>Mendidik tentang pentingnya keberagaman dan toleransi</t>
  </si>
  <si>
    <t>Meningkatkan kesadaran tentang budaya dominan</t>
  </si>
  <si>
    <t>Mengabaikan nilai-nilai keberagaman dalam kurikulum</t>
  </si>
  <si>
    <t>Memfokuskan kurikulum pada satu pandangan budaya</t>
  </si>
  <si>
    <t>Pendidikan berperan penting dalam mendidik tentang keberagaman dan toleransi untuk menjaga prinsip Bhineka Tunggal Ika di masa depan.</t>
  </si>
  <si>
    <t>Apa yang harus dilakukan masyarakat untuk menghadapi ancaman terhadap Bhineka Tunggal Ika?</t>
  </si>
  <si>
    <t>Mengabaikan perbedaan dan fokus pada kesamaan</t>
  </si>
  <si>
    <t>Menciptakan ruang dialog dan saling memahami antara kelompok berbeda</t>
  </si>
  <si>
    <t>Menerapkan kebijakan eksklusif terhadap kelompok tertentu</t>
  </si>
  <si>
    <t>Mengisolasi kelompok yang berbeda</t>
  </si>
  <si>
    <t>Menegakkan hukum secara ketat untuk menjaga kesatuan</t>
  </si>
  <si>
    <t>Masyarakat harus menciptakan ruang dialog dan saling memahami antara kelompok berbeda untuk menghadapi ancaman terhadap Bhineka Tunggal Ika.</t>
  </si>
  <si>
    <t>Apa yang menjadi kunci keberhasilan implementasi Bhineka Tunggal Ika dalam masyarakat?</t>
  </si>
  <si>
    <t>Penekanan pada keseragaman budaya</t>
  </si>
  <si>
    <t>Penghargaan terhadap keberagaman dan kesetaraan</t>
  </si>
  <si>
    <t>Pembatasan hak-hak kelompok minoritas</t>
  </si>
  <si>
    <t>Penguatan kekuasaan pemerintah terhadap kelompok minoritas</t>
  </si>
  <si>
    <t>Penerapan hukum yang diskriminatif terhadap kelompok tertentu</t>
  </si>
  <si>
    <t>Keberhasilan implementasi Bhineka Tunggal Ika dalam masyarakat terletak pada penghargaan terhadap keberagaman dan kesetaraan.</t>
  </si>
  <si>
    <t>Apa tantangan yang sering dihadapi dalam menerapkan prinsip Bhineka Tunggal Ika di area urban?</t>
  </si>
  <si>
    <t>Kesenjangan sosial dan ekonomi</t>
  </si>
  <si>
    <t>Keterbatasan sumber daya untuk pendidikan</t>
  </si>
  <si>
    <t>Pembangunan infrastruktur yang tidak merata</t>
  </si>
  <si>
    <t>Kepadatan penduduk yang tinggi dan konflik antar kelompok</t>
  </si>
  <si>
    <t>Ketidakstabilan politik dalam pengelolaan urban</t>
  </si>
  <si>
    <t>Tantangan dalam menerapkan Bhineka Tunggal Ika di area urban termasuk kesenjangan sosial dan ekonomi.</t>
  </si>
  <si>
    <t>Apa yang dapat dilakukan oleh pemerintah daerah untuk mendukung prinsip Bhineka Tunggal Ika?</t>
  </si>
  <si>
    <t>Mengembangkan kebijakan yang eksklusif terhadap kelompok minoritas</t>
  </si>
  <si>
    <t>Menerapkan kebijakan inklusif yang mendukung hak-hak semua kelompok</t>
  </si>
  <si>
    <t>Mengabaikan kebutuhan kelompok minoritas dalam pengambilan keputusan</t>
  </si>
  <si>
    <t>Mengutamakan satu kelompok dalam pembagian anggaran</t>
  </si>
  <si>
    <t>Membatasi partisipasi kelompok minoritas dalam kegiatan daerah</t>
  </si>
  <si>
    <t>Pemerintah daerah dapat mendukung prinsip Bhineka Tunggal Ika dengan menerapkan kebijakan inklusif yang mendukung hak-hak semua kelompok.</t>
  </si>
  <si>
    <t>Bagaimana peran tokoh masyarakat dalam mendukung prinsip Bhineka Tunggal Ika?</t>
  </si>
  <si>
    <t>Mengabaikan perbedaan untuk menghindari konflik</t>
  </si>
  <si>
    <t>Mengedukasi dan mempromosikan toleransi serta saling menghormati antara kelompok</t>
  </si>
  <si>
    <t>Menggunakan pengaruh untuk menguatkan kelompok dominan</t>
  </si>
  <si>
    <t>Membatasi interaksi antar kelompok untuk menjaga kedamaian</t>
  </si>
  <si>
    <t>Menyebarkan propaganda yang menguntungkan kelompok tertentu</t>
  </si>
  <si>
    <t>Tokoh masyarakat berperan dalam mengedukasi dan mempromosikan toleransi serta saling menghormati antara kelompok untuk mendukung prinsip Bhineka Tunggal Ika.</t>
  </si>
  <si>
    <t xml:space="preserve"> Negara Kesatuan Republik Indonesia (NKRI)</t>
  </si>
  <si>
    <t>Siapa yang bertanggung jawab atas pelaksanaan sistem pertahanan dan keamanan NKRI?</t>
  </si>
  <si>
    <t>Menteri Pertahanan</t>
  </si>
  <si>
    <t>Panglima TNI</t>
  </si>
  <si>
    <t>Kepala Polri</t>
  </si>
  <si>
    <t>Seluruh rakyat</t>
  </si>
  <si>
    <t>Sistem pertahanan dan keamanan NKRI dilaksanakan oleh seluruh rakyat, dengan peran utama dari TNI dan Polri.</t>
  </si>
  <si>
    <t>Apa yang dimaksud dengan Sistem Pertahanan Rakyat Semesta (Sishankamrata)?</t>
  </si>
  <si>
    <t>Pertahanan nasional berbasis militer</t>
  </si>
  <si>
    <t>Pertahanan berbasis rakyat</t>
  </si>
  <si>
    <t>Pertahanan berbasis teknologi</t>
  </si>
  <si>
    <t>Pertahanan berbasis politik</t>
  </si>
  <si>
    <t>Pertahanan berbasis ekonomi</t>
  </si>
  <si>
    <t>Sishankamrata adalah sistem pertahanan berbasis rakyat yang melibatkan semua komponen bangsa dalam pertahanan negara.</t>
  </si>
  <si>
    <t>Apa yang menjadi ancaman internal terhadap keutuhan NKRI?</t>
  </si>
  <si>
    <t>Ketidakstabilan politik</t>
  </si>
  <si>
    <t>Ancaman dari negara lain</t>
  </si>
  <si>
    <t>Konflik dengan negara tetangga</t>
  </si>
  <si>
    <t>Ancaman bencana alam</t>
  </si>
  <si>
    <t>Ancaman ekonomi</t>
  </si>
  <si>
    <t>Ancaman internal dapat berupa ketidakstabilan politik yang dapat mengancam keutuhan NKRI dari dalam negeri.</t>
  </si>
  <si>
    <t>Apa peran Pancasila dalam sistem pertahanan NKRI?</t>
  </si>
  <si>
    <t>Menjadi pedoman moral</t>
  </si>
  <si>
    <t>Menjadi dasar hukum</t>
  </si>
  <si>
    <t>Menjadi panduan politik</t>
  </si>
  <si>
    <t>Menjadi sistem ekonomi</t>
  </si>
  <si>
    <t>Menjadi standar pendidikan</t>
  </si>
  <si>
    <t>Pancasila berperan sebagai dasar hukum dan pedoman dalam sistem pertahanan NKRI, sebagai pedoman moral dan ideologi negara.</t>
  </si>
  <si>
    <t>Apa yang dimaksud dengan ancaman eksternal terhadap keutuhan NKRI?</t>
  </si>
  <si>
    <t>Ancaman dari kelompok radikal</t>
  </si>
  <si>
    <t>Ancaman dari negara asing</t>
  </si>
  <si>
    <t>Ancaman dari bencana alam</t>
  </si>
  <si>
    <t>Ancaman sosial</t>
  </si>
  <si>
    <t>Ancaman eksternal adalah ancaman yang berasal dari negara asing atau luar negeri yang dapat mengancam keutuhan NKRI.</t>
  </si>
  <si>
    <t>Apa yang dimaksud dengan sistem pertahanan dan keamanan yang terpadu?</t>
  </si>
  <si>
    <t>Sistem yang melibatkan berbagai lembaga</t>
  </si>
  <si>
    <t>Sistem yang hanya melibatkan militer</t>
  </si>
  <si>
    <t>Sistem yang hanya melibatkan polisi</t>
  </si>
  <si>
    <t>Sistem yang melibatkan hanya pemerintah pusat</t>
  </si>
  <si>
    <t>Sistem yang hanya melibatkan masyarakat lokal</t>
  </si>
  <si>
    <t>Sistem pertahanan dan keamanan yang terpadu melibatkan berbagai lembaga dan sektor untuk menjaga keamanan negara.</t>
  </si>
  <si>
    <t>Sejarah Perjuangan Bangsa</t>
  </si>
  <si>
    <t>Siapakah tokoh yang memimpin perlawanan terhadap Portugis di Maluku?</t>
  </si>
  <si>
    <t>Pattimura</t>
  </si>
  <si>
    <t>Sultan Babullah</t>
  </si>
  <si>
    <t>Sultan Hasanuddin</t>
  </si>
  <si>
    <t>Pangeran Diponegoro</t>
  </si>
  <si>
    <t>Cut Nyak Dien</t>
  </si>
  <si>
    <t>Sultan Babullah adalah tokoh yang memimpin perlawanan rakyat Maluku melawan Portugis pada abad ke-16.</t>
  </si>
  <si>
    <t>Apa makna dari gerakan Budi Utomo bagi perjuangan bangsa Indonesia?</t>
  </si>
  <si>
    <t>Kebangkitan nasional</t>
  </si>
  <si>
    <t>Perlawanan bersenjata</t>
  </si>
  <si>
    <t>Penolakan terhadap kolonialisme</t>
  </si>
  <si>
    <t>Penegakan hukum</t>
  </si>
  <si>
    <t>Kebebasan berpendapat</t>
  </si>
  <si>
    <t>Budi Utomo dianggap sebagai awal dari kebangkitan nasional Indonesia, menandai mulai tumbuhnya kesadaran nasional.</t>
  </si>
  <si>
    <t>Apa peran penting Peristiwa 10 November 1945 di Surabaya?</t>
  </si>
  <si>
    <t>Awal perjuangan diplomatik</t>
  </si>
  <si>
    <t>Pertempuran besar pertama melawan Belanda</t>
  </si>
  <si>
    <t>Momen penting dalam perjuangan melawan Sekutu</t>
  </si>
  <si>
    <t>Awal berdirinya NKRI</t>
  </si>
  <si>
    <t>Penandatanganan perjanjian damai</t>
  </si>
  <si>
    <t>Peristiwa 10 November 1945 di Surabaya adalah momen penting dalam perjuangan melawan Sekutu setelah kemerdekaan.</t>
  </si>
  <si>
    <t>Siapakah tokoh yang dikenal sebagai pemimpin perlawanan rakyat Sumatra Barat dalam Perang Padri?</t>
  </si>
  <si>
    <t>Tuanku Imam Bonjol</t>
  </si>
  <si>
    <t>Pangeran Antasari</t>
  </si>
  <si>
    <t>Sultan Agung</t>
  </si>
  <si>
    <t>Tuanku Imam Bonjol adalah pemimpin perlawanan rakyat Sumatra Barat dalam Perang Padri melawan Belanda pada awal abad ke-19.</t>
  </si>
  <si>
    <t>Apa tujuan utama dari perlawanan Diponegoro terhadap Belanda?</t>
  </si>
  <si>
    <t>Menuntut kebebasan beragama</t>
  </si>
  <si>
    <t>Menolak pembangunan jalan baru</t>
  </si>
  <si>
    <t>Mengusir penjajah dari tanah Jawa</t>
  </si>
  <si>
    <t>Mengembalikan kedaulatan kerajaan Mataram</t>
  </si>
  <si>
    <t>Mempertahankan harga diri</t>
  </si>
  <si>
    <t>Perlawanan Diponegoro dimulai sebagai penolakan terhadap pembangunan jalan baru oleh Belanda yang melewati makam leluhurnya.</t>
  </si>
  <si>
    <t>Apa nilai utama yang dapat dipetik dari perjuangan Cut Nyak Dien?</t>
  </si>
  <si>
    <t>Kesetaraan gender</t>
  </si>
  <si>
    <t>Semangat pantang menyerah</t>
  </si>
  <si>
    <t>Kemerdekaan individu</t>
  </si>
  <si>
    <t>Inovasi dalam perjuangan</t>
  </si>
  <si>
    <t>Cut Nyak Dien dikenal dengan semangat pantang menyerah dalam melawan penjajah Belanda hingga akhir hayatnya.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</si>
</sst>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14</v>
      </c>
      <c r="B2" s="2" t="s">
        <v>15</v>
      </c>
      <c r="C2" s="2" t="s">
        <v>16</v>
      </c>
      <c r="D2" s="3">
        <f t="shared" ref="D2:D13" si="1">IF(N2="A", 1, 0)</f>
        <v>0</v>
      </c>
      <c r="E2" s="2" t="s">
        <v>17</v>
      </c>
      <c r="F2" s="3">
        <f t="shared" ref="F2:F13" si="2">IF(N2="B", 1, 0)</f>
        <v>0</v>
      </c>
      <c r="G2" s="2" t="s">
        <v>18</v>
      </c>
      <c r="H2" s="3">
        <f t="shared" ref="H2:H13" si="3">IF(N2="C", 1, 0)</f>
        <v>1</v>
      </c>
      <c r="I2" s="2" t="s">
        <v>19</v>
      </c>
      <c r="J2" s="3">
        <f t="shared" ref="J2:J13" si="4">IF(N2="D", 1, 0)</f>
        <v>0</v>
      </c>
      <c r="K2" s="2" t="s">
        <v>20</v>
      </c>
      <c r="L2" s="3">
        <f t="shared" ref="L2:L13" si="5">IF(N2="E", 1, 0)</f>
        <v>0</v>
      </c>
      <c r="M2" s="2" t="s">
        <v>21</v>
      </c>
      <c r="N2" s="2" t="s">
        <v>6</v>
      </c>
    </row>
    <row r="3">
      <c r="A3" s="2" t="s">
        <v>14</v>
      </c>
      <c r="B3" s="2" t="s">
        <v>22</v>
      </c>
      <c r="C3" s="4" t="s">
        <v>23</v>
      </c>
      <c r="D3" s="3">
        <f t="shared" si="1"/>
        <v>1</v>
      </c>
      <c r="E3" s="4" t="s">
        <v>24</v>
      </c>
      <c r="F3" s="3">
        <f t="shared" si="2"/>
        <v>0</v>
      </c>
      <c r="G3" s="4" t="s">
        <v>25</v>
      </c>
      <c r="H3" s="3">
        <f t="shared" si="3"/>
        <v>0</v>
      </c>
      <c r="I3" s="4" t="s">
        <v>26</v>
      </c>
      <c r="J3" s="3">
        <f t="shared" si="4"/>
        <v>0</v>
      </c>
      <c r="K3" s="4" t="s">
        <v>27</v>
      </c>
      <c r="L3" s="3">
        <f t="shared" si="5"/>
        <v>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f t="shared" si="1"/>
        <v>1</v>
      </c>
      <c r="E4" s="2" t="s">
        <v>31</v>
      </c>
      <c r="F4" s="3">
        <f t="shared" si="2"/>
        <v>0</v>
      </c>
      <c r="G4" s="2" t="s">
        <v>32</v>
      </c>
      <c r="H4" s="3">
        <f t="shared" si="3"/>
        <v>0</v>
      </c>
      <c r="I4" s="2" t="s">
        <v>33</v>
      </c>
      <c r="J4" s="3">
        <f t="shared" si="4"/>
        <v>0</v>
      </c>
      <c r="K4" s="2" t="s">
        <v>34</v>
      </c>
      <c r="L4" s="3">
        <f t="shared" si="5"/>
        <v>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f t="shared" si="1"/>
        <v>1</v>
      </c>
      <c r="E5" s="2" t="s">
        <v>38</v>
      </c>
      <c r="F5" s="3">
        <f t="shared" si="2"/>
        <v>0</v>
      </c>
      <c r="G5" s="2" t="s">
        <v>39</v>
      </c>
      <c r="H5" s="3">
        <f t="shared" si="3"/>
        <v>0</v>
      </c>
      <c r="I5" s="2" t="s">
        <v>40</v>
      </c>
      <c r="J5" s="3">
        <f t="shared" si="4"/>
        <v>0</v>
      </c>
      <c r="K5" s="2" t="s">
        <v>41</v>
      </c>
      <c r="L5" s="3">
        <f t="shared" si="5"/>
        <v>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2" t="s">
        <v>44</v>
      </c>
      <c r="D6" s="3">
        <f t="shared" si="1"/>
        <v>1</v>
      </c>
      <c r="E6" s="2" t="s">
        <v>45</v>
      </c>
      <c r="F6" s="3">
        <f t="shared" si="2"/>
        <v>0</v>
      </c>
      <c r="G6" s="2" t="s">
        <v>46</v>
      </c>
      <c r="H6" s="3">
        <f t="shared" si="3"/>
        <v>0</v>
      </c>
      <c r="I6" s="2" t="s">
        <v>47</v>
      </c>
      <c r="J6" s="3">
        <f t="shared" si="4"/>
        <v>0</v>
      </c>
      <c r="K6" s="2" t="s">
        <v>48</v>
      </c>
      <c r="L6" s="3">
        <f t="shared" si="5"/>
        <v>0</v>
      </c>
      <c r="M6" s="2" t="s">
        <v>49</v>
      </c>
      <c r="N6" s="2" t="s">
        <v>2</v>
      </c>
    </row>
    <row r="7">
      <c r="A7" s="2" t="s">
        <v>14</v>
      </c>
      <c r="B7" s="2" t="s">
        <v>50</v>
      </c>
      <c r="C7" s="2" t="s">
        <v>51</v>
      </c>
      <c r="D7" s="3">
        <f t="shared" si="1"/>
        <v>1</v>
      </c>
      <c r="E7" s="2" t="s">
        <v>52</v>
      </c>
      <c r="F7" s="3">
        <f t="shared" si="2"/>
        <v>0</v>
      </c>
      <c r="G7" s="2" t="s">
        <v>53</v>
      </c>
      <c r="H7" s="3">
        <f t="shared" si="3"/>
        <v>0</v>
      </c>
      <c r="I7" s="2" t="s">
        <v>54</v>
      </c>
      <c r="J7" s="3">
        <f t="shared" si="4"/>
        <v>0</v>
      </c>
      <c r="K7" s="2" t="s">
        <v>55</v>
      </c>
      <c r="L7" s="3">
        <f t="shared" si="5"/>
        <v>0</v>
      </c>
      <c r="M7" s="2" t="s">
        <v>56</v>
      </c>
      <c r="N7" s="2" t="s">
        <v>2</v>
      </c>
    </row>
    <row r="8">
      <c r="A8" s="2" t="s">
        <v>57</v>
      </c>
      <c r="B8" s="2" t="s">
        <v>58</v>
      </c>
      <c r="C8" s="2" t="s">
        <v>59</v>
      </c>
      <c r="D8" s="3">
        <f t="shared" si="1"/>
        <v>1</v>
      </c>
      <c r="E8" s="2" t="s">
        <v>60</v>
      </c>
      <c r="F8" s="3">
        <f t="shared" si="2"/>
        <v>0</v>
      </c>
      <c r="G8" s="2" t="s">
        <v>61</v>
      </c>
      <c r="H8" s="3">
        <f t="shared" si="3"/>
        <v>0</v>
      </c>
      <c r="I8" s="2" t="s">
        <v>62</v>
      </c>
      <c r="J8" s="3">
        <f t="shared" si="4"/>
        <v>0</v>
      </c>
      <c r="K8" s="2" t="s">
        <v>63</v>
      </c>
      <c r="L8" s="3">
        <f t="shared" si="5"/>
        <v>0</v>
      </c>
      <c r="M8" s="2" t="s">
        <v>64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57</v>
      </c>
      <c r="B9" s="2" t="s">
        <v>65</v>
      </c>
      <c r="C9" s="2" t="s">
        <v>66</v>
      </c>
      <c r="D9" s="3">
        <f t="shared" si="1"/>
        <v>1</v>
      </c>
      <c r="E9" s="2" t="s">
        <v>67</v>
      </c>
      <c r="F9" s="3">
        <f t="shared" si="2"/>
        <v>0</v>
      </c>
      <c r="G9" s="2" t="s">
        <v>68</v>
      </c>
      <c r="H9" s="3">
        <f t="shared" si="3"/>
        <v>0</v>
      </c>
      <c r="I9" s="2" t="s">
        <v>69</v>
      </c>
      <c r="J9" s="3">
        <f t="shared" si="4"/>
        <v>0</v>
      </c>
      <c r="K9" s="2" t="s">
        <v>70</v>
      </c>
      <c r="L9" s="3">
        <f t="shared" si="5"/>
        <v>0</v>
      </c>
      <c r="M9" s="2" t="s">
        <v>71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57</v>
      </c>
      <c r="B10" s="2" t="s">
        <v>72</v>
      </c>
      <c r="C10" s="2" t="s">
        <v>73</v>
      </c>
      <c r="D10" s="3">
        <f t="shared" si="1"/>
        <v>0</v>
      </c>
      <c r="E10" s="2" t="s">
        <v>74</v>
      </c>
      <c r="F10" s="3">
        <f t="shared" si="2"/>
        <v>1</v>
      </c>
      <c r="G10" s="2" t="s">
        <v>75</v>
      </c>
      <c r="H10" s="3">
        <f t="shared" si="3"/>
        <v>0</v>
      </c>
      <c r="I10" s="2" t="s">
        <v>76</v>
      </c>
      <c r="J10" s="3">
        <f t="shared" si="4"/>
        <v>0</v>
      </c>
      <c r="K10" s="2" t="s">
        <v>77</v>
      </c>
      <c r="L10" s="3">
        <f t="shared" si="5"/>
        <v>0</v>
      </c>
      <c r="M10" s="2" t="s">
        <v>78</v>
      </c>
      <c r="N10" s="2" t="s">
        <v>4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 t="s">
        <v>57</v>
      </c>
      <c r="B11" s="2" t="s">
        <v>79</v>
      </c>
      <c r="C11" s="2" t="s">
        <v>80</v>
      </c>
      <c r="D11" s="3">
        <f t="shared" si="1"/>
        <v>0</v>
      </c>
      <c r="E11" s="2" t="s">
        <v>81</v>
      </c>
      <c r="F11" s="3">
        <f t="shared" si="2"/>
        <v>0</v>
      </c>
      <c r="G11" s="2" t="s">
        <v>82</v>
      </c>
      <c r="H11" s="3">
        <f t="shared" si="3"/>
        <v>1</v>
      </c>
      <c r="I11" s="2" t="s">
        <v>83</v>
      </c>
      <c r="J11" s="3">
        <f t="shared" si="4"/>
        <v>0</v>
      </c>
      <c r="K11" s="2" t="s">
        <v>60</v>
      </c>
      <c r="L11" s="3">
        <f t="shared" si="5"/>
        <v>0</v>
      </c>
      <c r="M11" s="2" t="s">
        <v>84</v>
      </c>
      <c r="N11" s="2" t="s">
        <v>6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57</v>
      </c>
      <c r="B12" s="2" t="s">
        <v>85</v>
      </c>
      <c r="C12" s="2" t="s">
        <v>67</v>
      </c>
      <c r="D12" s="3">
        <f t="shared" si="1"/>
        <v>0</v>
      </c>
      <c r="E12" s="2" t="s">
        <v>68</v>
      </c>
      <c r="F12" s="3">
        <f t="shared" si="2"/>
        <v>0</v>
      </c>
      <c r="G12" s="2" t="s">
        <v>66</v>
      </c>
      <c r="H12" s="3">
        <f t="shared" si="3"/>
        <v>1</v>
      </c>
      <c r="I12" s="2" t="s">
        <v>70</v>
      </c>
      <c r="J12" s="3">
        <f t="shared" si="4"/>
        <v>0</v>
      </c>
      <c r="K12" s="2" t="s">
        <v>69</v>
      </c>
      <c r="L12" s="3">
        <f t="shared" si="5"/>
        <v>0</v>
      </c>
      <c r="M12" s="2" t="s">
        <v>86</v>
      </c>
      <c r="N12" s="2" t="s">
        <v>6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 t="s">
        <v>57</v>
      </c>
      <c r="B13" s="2" t="s">
        <v>87</v>
      </c>
      <c r="C13" s="2" t="s">
        <v>88</v>
      </c>
      <c r="D13" s="3">
        <f t="shared" si="1"/>
        <v>1</v>
      </c>
      <c r="E13" s="2" t="s">
        <v>89</v>
      </c>
      <c r="F13" s="3">
        <f t="shared" si="2"/>
        <v>0</v>
      </c>
      <c r="G13" s="2" t="s">
        <v>90</v>
      </c>
      <c r="H13" s="3">
        <f t="shared" si="3"/>
        <v>0</v>
      </c>
      <c r="I13" s="2" t="s">
        <v>91</v>
      </c>
      <c r="J13" s="3">
        <f t="shared" si="4"/>
        <v>0</v>
      </c>
      <c r="K13" s="2" t="s">
        <v>92</v>
      </c>
      <c r="L13" s="3">
        <f t="shared" si="5"/>
        <v>0</v>
      </c>
      <c r="M13" s="2" t="s">
        <v>93</v>
      </c>
      <c r="N13" s="2" t="s">
        <v>2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 t="s">
        <v>94</v>
      </c>
      <c r="B14" s="2" t="s">
        <v>95</v>
      </c>
      <c r="C14" s="2" t="s">
        <v>96</v>
      </c>
      <c r="D14" s="3">
        <v>0.0</v>
      </c>
      <c r="E14" s="2" t="s">
        <v>97</v>
      </c>
      <c r="F14" s="3">
        <v>1.0</v>
      </c>
      <c r="G14" s="2" t="s">
        <v>98</v>
      </c>
      <c r="H14" s="3">
        <v>0.0</v>
      </c>
      <c r="I14" s="2" t="s">
        <v>99</v>
      </c>
      <c r="J14" s="3">
        <v>0.0</v>
      </c>
      <c r="K14" s="2" t="s">
        <v>100</v>
      </c>
      <c r="L14" s="3">
        <v>0.0</v>
      </c>
      <c r="M14" s="2" t="s">
        <v>101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94</v>
      </c>
      <c r="B15" s="2" t="s">
        <v>102</v>
      </c>
      <c r="C15" s="2" t="s">
        <v>103</v>
      </c>
      <c r="D15" s="3">
        <v>0.0</v>
      </c>
      <c r="E15" s="2" t="s">
        <v>104</v>
      </c>
      <c r="F15" s="3">
        <v>1.0</v>
      </c>
      <c r="G15" s="2" t="s">
        <v>105</v>
      </c>
      <c r="H15" s="3">
        <v>0.0</v>
      </c>
      <c r="I15" s="2" t="s">
        <v>106</v>
      </c>
      <c r="J15" s="3">
        <v>0.0</v>
      </c>
      <c r="K15" s="2" t="s">
        <v>107</v>
      </c>
      <c r="L15" s="3">
        <v>0.0</v>
      </c>
      <c r="M15" s="2" t="s">
        <v>108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 t="s">
        <v>94</v>
      </c>
      <c r="B16" s="2" t="s">
        <v>109</v>
      </c>
      <c r="C16" s="2" t="s">
        <v>110</v>
      </c>
      <c r="D16" s="3">
        <v>0.0</v>
      </c>
      <c r="E16" s="2" t="s">
        <v>111</v>
      </c>
      <c r="F16" s="3">
        <v>1.0</v>
      </c>
      <c r="G16" s="2" t="s">
        <v>112</v>
      </c>
      <c r="H16" s="3">
        <v>0.0</v>
      </c>
      <c r="I16" s="2" t="s">
        <v>113</v>
      </c>
      <c r="J16" s="3">
        <v>0.0</v>
      </c>
      <c r="K16" s="2" t="s">
        <v>114</v>
      </c>
      <c r="L16" s="3">
        <v>0.0</v>
      </c>
      <c r="M16" s="2" t="s">
        <v>115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94</v>
      </c>
      <c r="B17" s="2" t="s">
        <v>116</v>
      </c>
      <c r="C17" s="2" t="s">
        <v>117</v>
      </c>
      <c r="D17" s="3">
        <v>1.0</v>
      </c>
      <c r="E17" s="2" t="s">
        <v>118</v>
      </c>
      <c r="F17" s="3">
        <v>0.0</v>
      </c>
      <c r="G17" s="2" t="s">
        <v>119</v>
      </c>
      <c r="H17" s="3">
        <v>0.0</v>
      </c>
      <c r="I17" s="2" t="s">
        <v>120</v>
      </c>
      <c r="J17" s="3">
        <v>0.0</v>
      </c>
      <c r="K17" s="2" t="s">
        <v>121</v>
      </c>
      <c r="L17" s="3">
        <v>0.0</v>
      </c>
      <c r="M17" s="2" t="s">
        <v>122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94</v>
      </c>
      <c r="B18" s="2" t="s">
        <v>123</v>
      </c>
      <c r="C18" s="2" t="s">
        <v>124</v>
      </c>
      <c r="D18" s="3">
        <v>0.0</v>
      </c>
      <c r="E18" s="2" t="s">
        <v>125</v>
      </c>
      <c r="F18" s="3">
        <v>1.0</v>
      </c>
      <c r="G18" s="2" t="s">
        <v>126</v>
      </c>
      <c r="H18" s="3">
        <v>0.0</v>
      </c>
      <c r="I18" s="2" t="s">
        <v>127</v>
      </c>
      <c r="J18" s="3">
        <v>0.0</v>
      </c>
      <c r="K18" s="2" t="s">
        <v>128</v>
      </c>
      <c r="L18" s="3">
        <v>0.0</v>
      </c>
      <c r="M18" s="2" t="s">
        <v>129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 t="s">
        <v>94</v>
      </c>
      <c r="B19" s="2" t="s">
        <v>130</v>
      </c>
      <c r="C19" s="2" t="s">
        <v>131</v>
      </c>
      <c r="D19" s="3">
        <v>0.0</v>
      </c>
      <c r="E19" s="2" t="s">
        <v>132</v>
      </c>
      <c r="F19" s="3">
        <v>1.0</v>
      </c>
      <c r="G19" s="2" t="s">
        <v>133</v>
      </c>
      <c r="H19" s="3">
        <v>0.0</v>
      </c>
      <c r="I19" s="2" t="s">
        <v>134</v>
      </c>
      <c r="J19" s="3">
        <v>0.0</v>
      </c>
      <c r="K19" s="2" t="s">
        <v>135</v>
      </c>
      <c r="L19" s="3">
        <v>0.0</v>
      </c>
      <c r="M19" s="2" t="s">
        <v>136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 t="s">
        <v>137</v>
      </c>
      <c r="B20" s="2" t="s">
        <v>138</v>
      </c>
      <c r="C20" s="2" t="s">
        <v>67</v>
      </c>
      <c r="D20" s="3">
        <v>0.0</v>
      </c>
      <c r="E20" s="2" t="s">
        <v>139</v>
      </c>
      <c r="F20" s="3">
        <v>0.0</v>
      </c>
      <c r="G20" s="2" t="s">
        <v>140</v>
      </c>
      <c r="H20" s="3">
        <v>0.0</v>
      </c>
      <c r="I20" s="2" t="s">
        <v>141</v>
      </c>
      <c r="J20" s="3">
        <v>0.0</v>
      </c>
      <c r="K20" s="2" t="s">
        <v>142</v>
      </c>
      <c r="L20" s="3">
        <v>1.0</v>
      </c>
      <c r="M20" s="2" t="s">
        <v>143</v>
      </c>
      <c r="N20" s="2" t="s">
        <v>10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 t="s">
        <v>137</v>
      </c>
      <c r="B21" s="2" t="s">
        <v>144</v>
      </c>
      <c r="C21" s="2" t="s">
        <v>145</v>
      </c>
      <c r="D21" s="3">
        <v>0.0</v>
      </c>
      <c r="E21" s="2" t="s">
        <v>146</v>
      </c>
      <c r="F21" s="3">
        <v>1.0</v>
      </c>
      <c r="G21" s="2" t="s">
        <v>147</v>
      </c>
      <c r="H21" s="3">
        <v>0.0</v>
      </c>
      <c r="I21" s="2" t="s">
        <v>148</v>
      </c>
      <c r="J21" s="3">
        <v>0.0</v>
      </c>
      <c r="K21" s="2" t="s">
        <v>149</v>
      </c>
      <c r="L21" s="3">
        <v>0.0</v>
      </c>
      <c r="M21" s="2" t="s">
        <v>150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 t="s">
        <v>137</v>
      </c>
      <c r="B22" s="2" t="s">
        <v>151</v>
      </c>
      <c r="C22" s="2" t="s">
        <v>152</v>
      </c>
      <c r="D22" s="3">
        <v>1.0</v>
      </c>
      <c r="E22" s="2" t="s">
        <v>153</v>
      </c>
      <c r="F22" s="3">
        <v>0.0</v>
      </c>
      <c r="G22" s="2" t="s">
        <v>154</v>
      </c>
      <c r="H22" s="3">
        <v>0.0</v>
      </c>
      <c r="I22" s="2" t="s">
        <v>155</v>
      </c>
      <c r="J22" s="3">
        <v>0.0</v>
      </c>
      <c r="K22" s="2" t="s">
        <v>156</v>
      </c>
      <c r="L22" s="3">
        <v>0.0</v>
      </c>
      <c r="M22" s="2" t="s">
        <v>157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 t="s">
        <v>137</v>
      </c>
      <c r="B23" s="2" t="s">
        <v>158</v>
      </c>
      <c r="C23" s="2" t="s">
        <v>159</v>
      </c>
      <c r="D23" s="3">
        <v>0.0</v>
      </c>
      <c r="E23" s="2" t="s">
        <v>160</v>
      </c>
      <c r="F23" s="3">
        <v>1.0</v>
      </c>
      <c r="G23" s="2" t="s">
        <v>161</v>
      </c>
      <c r="H23" s="3">
        <v>0.0</v>
      </c>
      <c r="I23" s="2" t="s">
        <v>162</v>
      </c>
      <c r="J23" s="3">
        <v>0.0</v>
      </c>
      <c r="K23" s="2" t="s">
        <v>163</v>
      </c>
      <c r="L23" s="3">
        <v>0.0</v>
      </c>
      <c r="M23" s="2" t="s">
        <v>164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 t="s">
        <v>137</v>
      </c>
      <c r="B24" s="2" t="s">
        <v>165</v>
      </c>
      <c r="C24" s="2" t="s">
        <v>166</v>
      </c>
      <c r="D24" s="3">
        <v>0.0</v>
      </c>
      <c r="E24" s="2" t="s">
        <v>167</v>
      </c>
      <c r="F24" s="3">
        <v>1.0</v>
      </c>
      <c r="G24" s="2" t="s">
        <v>168</v>
      </c>
      <c r="H24" s="3">
        <v>0.0</v>
      </c>
      <c r="I24" s="2" t="s">
        <v>169</v>
      </c>
      <c r="J24" s="3">
        <v>0.0</v>
      </c>
      <c r="K24" s="2" t="s">
        <v>156</v>
      </c>
      <c r="L24" s="3">
        <v>0.0</v>
      </c>
      <c r="M24" s="2" t="s">
        <v>170</v>
      </c>
      <c r="N24" s="2" t="s">
        <v>4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 t="s">
        <v>137</v>
      </c>
      <c r="B25" s="2" t="s">
        <v>171</v>
      </c>
      <c r="C25" s="2" t="s">
        <v>172</v>
      </c>
      <c r="D25" s="3">
        <v>1.0</v>
      </c>
      <c r="E25" s="2" t="s">
        <v>173</v>
      </c>
      <c r="F25" s="3">
        <v>0.0</v>
      </c>
      <c r="G25" s="2" t="s">
        <v>174</v>
      </c>
      <c r="H25" s="3">
        <v>0.0</v>
      </c>
      <c r="I25" s="2" t="s">
        <v>175</v>
      </c>
      <c r="J25" s="3">
        <v>0.0</v>
      </c>
      <c r="K25" s="2" t="s">
        <v>176</v>
      </c>
      <c r="L25" s="3">
        <v>0.0</v>
      </c>
      <c r="M25" s="2" t="s">
        <v>177</v>
      </c>
      <c r="N25" s="2" t="s">
        <v>2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 t="s">
        <v>178</v>
      </c>
      <c r="B26" s="2" t="s">
        <v>179</v>
      </c>
      <c r="C26" s="2" t="s">
        <v>180</v>
      </c>
      <c r="D26" s="3">
        <v>0.0</v>
      </c>
      <c r="E26" s="2" t="s">
        <v>181</v>
      </c>
      <c r="F26" s="3">
        <v>1.0</v>
      </c>
      <c r="G26" s="2" t="s">
        <v>182</v>
      </c>
      <c r="H26" s="3">
        <v>0.0</v>
      </c>
      <c r="I26" s="2" t="s">
        <v>183</v>
      </c>
      <c r="J26" s="3">
        <v>0.0</v>
      </c>
      <c r="K26" s="2" t="s">
        <v>184</v>
      </c>
      <c r="L26" s="3">
        <v>0.0</v>
      </c>
      <c r="M26" s="2" t="s">
        <v>185</v>
      </c>
      <c r="N26" s="2" t="s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 t="s">
        <v>178</v>
      </c>
      <c r="B27" s="2" t="s">
        <v>186</v>
      </c>
      <c r="C27" s="2" t="s">
        <v>187</v>
      </c>
      <c r="D27" s="3">
        <v>1.0</v>
      </c>
      <c r="E27" s="2" t="s">
        <v>188</v>
      </c>
      <c r="F27" s="3">
        <v>0.0</v>
      </c>
      <c r="G27" s="2" t="s">
        <v>189</v>
      </c>
      <c r="H27" s="3">
        <v>0.0</v>
      </c>
      <c r="I27" s="2" t="s">
        <v>190</v>
      </c>
      <c r="J27" s="3">
        <v>0.0</v>
      </c>
      <c r="K27" s="2" t="s">
        <v>191</v>
      </c>
      <c r="L27" s="3">
        <v>0.0</v>
      </c>
      <c r="M27" s="2" t="s">
        <v>192</v>
      </c>
      <c r="N27" s="2" t="s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 t="s">
        <v>178</v>
      </c>
      <c r="B28" s="2" t="s">
        <v>193</v>
      </c>
      <c r="C28" s="2" t="s">
        <v>194</v>
      </c>
      <c r="D28" s="3">
        <v>0.0</v>
      </c>
      <c r="E28" s="2" t="s">
        <v>195</v>
      </c>
      <c r="F28" s="3">
        <v>0.0</v>
      </c>
      <c r="G28" s="2" t="s">
        <v>196</v>
      </c>
      <c r="H28" s="3">
        <v>1.0</v>
      </c>
      <c r="I28" s="2" t="s">
        <v>197</v>
      </c>
      <c r="J28" s="3">
        <v>0.0</v>
      </c>
      <c r="K28" s="2" t="s">
        <v>198</v>
      </c>
      <c r="L28" s="3">
        <v>0.0</v>
      </c>
      <c r="M28" s="2" t="s">
        <v>199</v>
      </c>
      <c r="N28" s="2" t="s">
        <v>6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 t="s">
        <v>178</v>
      </c>
      <c r="B29" s="2" t="s">
        <v>200</v>
      </c>
      <c r="C29" s="4" t="s">
        <v>201</v>
      </c>
      <c r="D29" s="3">
        <v>1.0</v>
      </c>
      <c r="E29" s="4" t="s">
        <v>182</v>
      </c>
      <c r="F29" s="3">
        <v>0.0</v>
      </c>
      <c r="G29" s="4" t="s">
        <v>180</v>
      </c>
      <c r="H29" s="3">
        <v>0.0</v>
      </c>
      <c r="I29" s="4" t="s">
        <v>202</v>
      </c>
      <c r="J29" s="3">
        <v>0.0</v>
      </c>
      <c r="K29" s="4" t="s">
        <v>203</v>
      </c>
      <c r="L29" s="3">
        <v>0.0</v>
      </c>
      <c r="M29" s="2" t="s">
        <v>204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 t="s">
        <v>178</v>
      </c>
      <c r="B30" s="2" t="s">
        <v>205</v>
      </c>
      <c r="C30" s="2" t="s">
        <v>206</v>
      </c>
      <c r="D30" s="3">
        <v>0.0</v>
      </c>
      <c r="E30" s="2" t="s">
        <v>207</v>
      </c>
      <c r="F30" s="3">
        <v>1.0</v>
      </c>
      <c r="G30" s="2" t="s">
        <v>208</v>
      </c>
      <c r="H30" s="3">
        <v>0.0</v>
      </c>
      <c r="I30" s="2" t="s">
        <v>209</v>
      </c>
      <c r="J30" s="3">
        <v>0.0</v>
      </c>
      <c r="K30" s="2" t="s">
        <v>210</v>
      </c>
      <c r="L30" s="3">
        <v>0.0</v>
      </c>
      <c r="M30" s="2" t="s">
        <v>211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 t="s">
        <v>178</v>
      </c>
      <c r="B31" s="2" t="s">
        <v>212</v>
      </c>
      <c r="C31" s="2" t="s">
        <v>213</v>
      </c>
      <c r="D31" s="3">
        <v>0.0</v>
      </c>
      <c r="E31" s="4" t="s">
        <v>214</v>
      </c>
      <c r="F31" s="3">
        <v>1.0</v>
      </c>
      <c r="G31" s="4" t="s">
        <v>191</v>
      </c>
      <c r="H31" s="3">
        <v>0.0</v>
      </c>
      <c r="I31" s="4" t="s">
        <v>215</v>
      </c>
      <c r="J31" s="3">
        <v>0.0</v>
      </c>
      <c r="K31" s="4" t="s">
        <v>216</v>
      </c>
      <c r="L31" s="3">
        <v>0.0</v>
      </c>
      <c r="M31" s="2" t="s">
        <v>217</v>
      </c>
      <c r="N31" s="2" t="s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drawing r:id="rId1"/>
</worksheet>
</file>