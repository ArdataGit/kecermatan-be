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<sst xmlns="http://schemas.openxmlformats.org/spreadsheetml/2006/main" count="279" uniqueCount="217">
  <si>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</si>
  <si>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</si>
  <si>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</si>
  <si>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</si>
  <si>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</si>
  <si>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</si>
  <si>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</si>
  <si>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</si>
  <si>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</si>
  <si>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</si>
  <si>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</si>
  <si>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</si>
  <si>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</si>
  <si>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</si>
  <si>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Pancasila</t>
  </si>
  <si>
    <t>Siapakah tokoh yang pertama kali mengusulkan nama "Pancasila"?</t>
  </si>
  <si>
    <t>Soekarno</t>
  </si>
  <si>
    <t>Mohammad Hatta</t>
  </si>
  <si>
    <t>Muhammad Yamin</t>
  </si>
  <si>
    <t>Soepomo</t>
  </si>
  <si>
    <t>Ki Hadjar Dewantara</t>
  </si>
  <si>
    <t>Soekarno adalah tokoh yang mengusulkan nama "Pancasila" pada sidang BPUPKI tanggal 1 Juni 1945.</t>
  </si>
  <si>
    <t>Pada tanggal berapa Pancasila pertama kali dirumuskan?</t>
  </si>
  <si>
    <t>Pancasila pertama kali dirumuskan pada 1 Juni 1945 oleh Soekarno dalam sidang BPUPKI.</t>
  </si>
  <si>
    <t>Apa makna dari sila pertama Pancasila, "Ketuhanan Yang Maha Esa"?</t>
  </si>
  <si>
    <t>Kebebasan memeluk agama</t>
  </si>
  <si>
    <t>Menjaga persatuan dan kesatuan</t>
  </si>
  <si>
    <t>Menjunjung tinggi keadilan sosial</t>
  </si>
  <si>
    <t>Mengutamakan musyawarah</t>
  </si>
  <si>
    <t>Mendorong inovasi dan kemajuan</t>
  </si>
  <si>
    <t>Sila pertama Pancasila bermakna bahwa negara menjamin kebebasan setiap warganya untuk memeluk agama sesuai kepercayaan masing-masing.</t>
  </si>
  <si>
    <t>Bagaimana implementasi sila ketiga, "Persatuan Indonesia", dalam kehidupan sehari-hari?</t>
  </si>
  <si>
    <t>Menghormati perbedaan budaya dan suku</t>
  </si>
  <si>
    <t>Melaksanakan gotong royong</t>
  </si>
  <si>
    <t>Mematuhi peraturan lalu lintas</t>
  </si>
  <si>
    <t>Melakukan kerja sama internasional</t>
  </si>
  <si>
    <t>Mengutamakan kepentingan pribadi di atas umum</t>
  </si>
  <si>
    <t>Menghormati perbedaan budaya dan suku mencerminkan semangat persatuan yang diusung oleh sila ketiga Pancasila.</t>
  </si>
  <si>
    <t>Salah satu tantangan terbesar dalam menjaga Pancasila sebagai ideologi bangsa adalah...?</t>
  </si>
  <si>
    <t>Radikalisme</t>
  </si>
  <si>
    <t>Pengangguran</t>
  </si>
  <si>
    <t>Kemiskinan</t>
  </si>
  <si>
    <t>Perdagangan bebas</t>
  </si>
  <si>
    <t>Kemajuan teknologi</t>
  </si>
  <si>
    <t>Radikalisme adalah tantangan terbesar karena dapat merongrong dasar-dasar Pancasila sebagai ideologi bangsa Indonesia.</t>
  </si>
  <si>
    <t>Bagaimana peran Pancasila dalam menghadapi globalisasi?</t>
  </si>
  <si>
    <t>Sebagai dasar pemersatu bangsa</t>
  </si>
  <si>
    <t>Mengatur kebijakan ekonomi</t>
  </si>
  <si>
    <t>Membatasi masuknya budaya asing</t>
  </si>
  <si>
    <t>Mendorong inovasi di bidang teknologi</t>
  </si>
  <si>
    <t>Menghambat perdagangan internasional</t>
  </si>
  <si>
    <t>Pancasila berperan sebagai dasar pemersatu bangsa dalam menghadapi tantangan globalisasi yang kompleks.</t>
  </si>
  <si>
    <t>Undang-Undang Dasar 1945</t>
  </si>
  <si>
    <t>Siapa yang merancang naskah asli UUD 1945?</t>
  </si>
  <si>
    <t>Ir. Soekarno</t>
  </si>
  <si>
    <t>Dr. Radjiman Wedyodiningrat</t>
  </si>
  <si>
    <t>Ki Hajar Dewantara</t>
  </si>
  <si>
    <t>Naskah asli UUD 1945 dirancang oleh Soepomo dan timnya.</t>
  </si>
  <si>
    <t>Apa yang dimaksud dengan "kekuasaan negara" menurut UUD 1945?</t>
  </si>
  <si>
    <t>Kekuasaan eksekutif</t>
  </si>
  <si>
    <t>Kekuasaan legislatif</t>
  </si>
  <si>
    <t>Kekuasaan yudikatif</t>
  </si>
  <si>
    <t>Kekuasaan negara terdiri dari eksekutif, legislatif, dan yudikatif</t>
  </si>
  <si>
    <t>Kekuasaan daerah</t>
  </si>
  <si>
    <t>UUD 1945 membagi kekuasaan negara menjadi eksekutif, legislatif, dan yudikatif.</t>
  </si>
  <si>
    <t>Apa yang diatur dalam Pasal 1 UUD 1945?</t>
  </si>
  <si>
    <t>Bentuk negara</t>
  </si>
  <si>
    <t>Kedaulatan rakyat</t>
  </si>
  <si>
    <t>Hak asasi manusia</t>
  </si>
  <si>
    <t>Sistem pemerintahan</t>
  </si>
  <si>
    <t>Pembagian kekuasaan</t>
  </si>
  <si>
    <t>Pasal 1 UUD 1945 mengatur tentang kedaulatan rakyat dan bentuk negara Republik Indonesia.</t>
  </si>
  <si>
    <t>Dalam amandemen UUD 1945, apa yang diubah pada Amandemen IV?</t>
  </si>
  <si>
    <t>Penambahan pasal baru</t>
  </si>
  <si>
    <t>Penataan kembali struktur pemerintahan</t>
  </si>
  <si>
    <t>Perubahan bentuk negara</t>
  </si>
  <si>
    <t>Pengaturan hubungan internasional</t>
  </si>
  <si>
    <t>Hak-hak dasar warga negara</t>
  </si>
  <si>
    <t>Amandemen IV terutama mengatur penataan kembali struktur pemerintahan.</t>
  </si>
  <si>
    <t>Apa fungsi dari Majelis Permusyawaratan Rakyat (MPR) menurut UUD 1945?</t>
  </si>
  <si>
    <t>Menyusun undang-undang</t>
  </si>
  <si>
    <t>Mengubah UUD</t>
  </si>
  <si>
    <t>Mengawasi pelaksanaan undang-undang</t>
  </si>
  <si>
    <t>Menetapkan Presiden dan Wakil Presiden</t>
  </si>
  <si>
    <t>Menyusun Rancangan Anggaran Pendapatan dan Belanja Negara (RAPBN)</t>
  </si>
  <si>
    <t>MPR bertugas menetapkan Presiden dan Wakil Presiden serta mengubah UUD.</t>
  </si>
  <si>
    <t>Hak dan kewajiban apa yang diatur dalam Pasal 27 UUD 1945?</t>
  </si>
  <si>
    <t>Hak atas pekerjaan dan penghidupan yang layak</t>
  </si>
  <si>
    <t>Hak untuk memiliki properti</t>
  </si>
  <si>
    <t>Hak atas pendidikan</t>
  </si>
  <si>
    <t>Hak untuk bersuara</t>
  </si>
  <si>
    <t>Hak untuk mendapatkan perlakuan yang sama di hadapan hukum</t>
  </si>
  <si>
    <t>Pasal 27 UUD 1945 mengatur hak dan kewajiban warga negara untuk bekerja dan mendapatkan kehidupan yang layak.</t>
  </si>
  <si>
    <t>Bhineka Tunggal Ika</t>
  </si>
  <si>
    <t>Apa makna dari semboyan "Bhineka Tunggal Ika" dan nilai-nilai apa yang terkandung di dalamnya?</t>
  </si>
  <si>
    <t>Kesatuan dalam keragaman; mengajarkan persatuan dan toleransi</t>
  </si>
  <si>
    <t>Kemandirian dalam kebebasan; menekankan hak individu</t>
  </si>
  <si>
    <t>Kekuatan dalam kebanggaan; mempromosikan nasionalisme ekstrem</t>
  </si>
  <si>
    <t>Keberagaman dalam persaingan; menekankan kompetisi antar kelompok</t>
  </si>
  <si>
    <t>Tidak ada makna terkait dengan semboyan tersebut</t>
  </si>
  <si>
    <t>"Bhineka Tunggal Ika" berarti "Berbeda-beda tetapi tetap satu" yang mencerminkan kesatuan dalam keragaman, persatuan, dan toleransi.</t>
  </si>
  <si>
    <t>Bagaimana implementasi prinsip Bhineka Tunggal Ika dalam kehidupan bermasyarakat di Indonesia?</t>
  </si>
  <si>
    <t>Mengabaikan perbedaan dan memaksakan keseragaman</t>
  </si>
  <si>
    <t>Menghormati dan menghargai perbedaan budaya, agama, dan etnis</t>
  </si>
  <si>
    <t>Menciptakan batasan yang ketat antara kelompok-kelompok masyarakat</t>
  </si>
  <si>
    <t>Mengedepankan satu budaya dan mengabaikan budaya lain</t>
  </si>
  <si>
    <t>Menetapkan batasan sosial untuk memisahkan kelompok-kelompok</t>
  </si>
  <si>
    <t>Implementasi prinsip Bhineka Tunggal Ika tercermin dari menghormati dan menghargai perbedaan budaya, agama, dan etnis.</t>
  </si>
  <si>
    <t>Apa tantangan utama dalam menjaga prinsip Bhineka Tunggal Ika di Indonesia?</t>
  </si>
  <si>
    <t>Peningkatan kualitas pendidikan dan kesehatan</t>
  </si>
  <si>
    <t>Konflik antar etnis, radikalisasi, dan intoleransi</t>
  </si>
  <si>
    <t>Pertumbuhan ekonomi dan pembangunan infrastruktur</t>
  </si>
  <si>
    <t>Perbaikan sistem hukum dan penegakan keadilan</t>
  </si>
  <si>
    <t>Ketidakstabilan politik dan ekonomi</t>
  </si>
  <si>
    <t>Tantangan terhadap Bhineka Tunggal Ika meliputi konflik antar etnis, radikalisasi, dan intoleransi yang dapat mengancam persatuan masyarakat.</t>
  </si>
  <si>
    <t>Apa yang dimaksud dengan prinsip "Bhineka Tunggal Ika" dalam konteks sosial Indonesia?</t>
  </si>
  <si>
    <t>Persatuan di tengah perbedaan</t>
  </si>
  <si>
    <t>Kesetaraan dalam hak dan kewajiban individu</t>
  </si>
  <si>
    <t>Penekanan pada identitas kelompok</t>
  </si>
  <si>
    <t>Penjagaan keamanan nasional melalui kekuatan militer</t>
  </si>
  <si>
    <t>Pengakuan dan penguatan hak individu dan kelompok minoritas</t>
  </si>
  <si>
    <t>Prinsip "Bhineka Tunggal Ika" berarti menjaga persatuan di tengah perbedaan dalam konteks sosial Indonesia.</t>
  </si>
  <si>
    <t>Bagaimana cara terbaik untuk menerapkan Bhineka Tunggal Ika dalam pendidikan?</t>
  </si>
  <si>
    <t>Mengajarkan pentingnya homogenitas budaya</t>
  </si>
  <si>
    <t>Memperkenalkan berbagai budaya dan nilai di dalam kurikulum</t>
  </si>
  <si>
    <t>Mengedepankan satu budaya sebagai standar pendidikan</t>
  </si>
  <si>
    <t>Mengabaikan perbedaan budaya dalam materi ajar</t>
  </si>
  <si>
    <t>Menyediakan fasilitas pendidikan yang hanya untuk kelompok mayoritas</t>
  </si>
  <si>
    <t>Menerapkan Bhineka Tunggal Ika dalam pendidikan dengan memperkenalkan berbagai budaya dan nilai di dalam kurikulum.</t>
  </si>
  <si>
    <t>Apa yang menjadi ancaman utama terhadap prinsip Bhineka Tunggal Ika di era modern?</t>
  </si>
  <si>
    <t>Kesenjangan ekonomi yang semakin lebar</t>
  </si>
  <si>
    <t>Radikalisasi dan ekstremisme yang berbasis identitas</t>
  </si>
  <si>
    <t>Kemajuan teknologi yang cepat</t>
  </si>
  <si>
    <t>Kesulitan dalam pemerataan pendidikan</t>
  </si>
  <si>
    <t>Penurunan kualitas hidup secara umum</t>
  </si>
  <si>
    <t>Ancaman terhadap Bhineka Tunggal Ika di era modern termasuk radikalisasi dan ekstremisme yang berbasis identitas.</t>
  </si>
  <si>
    <t xml:space="preserve"> Negara Kesatuan Republik Indonesia (NKRI)</t>
  </si>
  <si>
    <t>Apa nama badan yang pertama kali membahas dan merancang UUD 1945?</t>
  </si>
  <si>
    <t>MPR</t>
  </si>
  <si>
    <t>PPKI</t>
  </si>
  <si>
    <t>BPUPKI</t>
  </si>
  <si>
    <t>DPR</t>
  </si>
  <si>
    <t>KPU</t>
  </si>
  <si>
    <t>BPUPKI (Badan Penyelidik Usaha Persiapan Kemerdekaan Indonesia) adalah badan yang merancang UUD 1945.</t>
  </si>
  <si>
    <t>Apa bentuk negara Indonesia sesuai dengan UUD 1945?</t>
  </si>
  <si>
    <t>Republik</t>
  </si>
  <si>
    <t>Federasi</t>
  </si>
  <si>
    <t>Konfederasi</t>
  </si>
  <si>
    <t>Kesatuan</t>
  </si>
  <si>
    <t>Monarki</t>
  </si>
  <si>
    <t>Indonesia adalah negara kesatuan yang berbentuk Republik sesuai dengan UUD 1945.</t>
  </si>
  <si>
    <t>Apa yang dimaksud dengan kedaulatan negara?</t>
  </si>
  <si>
    <t>Kekuasaan tertinggi</t>
  </si>
  <si>
    <t>Wilayah geografis</t>
  </si>
  <si>
    <t>Pemerintahan</t>
  </si>
  <si>
    <t>Ekonomi</t>
  </si>
  <si>
    <t>Sosial</t>
  </si>
  <si>
    <t>Kedaulatan negara adalah kekuasaan tertinggi yang dimiliki oleh negara atas wilayah dan rakyatnya.</t>
  </si>
  <si>
    <t>Apa yang menjadi dasar sistem pertahanan dan keamanan negara Indonesia?</t>
  </si>
  <si>
    <t>Sistem Pertahanan Terpadu</t>
  </si>
  <si>
    <t>Sistem Pertahanan Rakyat Semesta</t>
  </si>
  <si>
    <t>Sistem Pertahanan Nasional</t>
  </si>
  <si>
    <t>Sistem Keamanan Wilayah</t>
  </si>
  <si>
    <t>Sistem Keamanan Publik</t>
  </si>
  <si>
    <t>Dasar sistem pertahanan dan keamanan Indonesia adalah Sistem Pertahanan Rakyat Semesta (Sishankamrata).</t>
  </si>
  <si>
    <t>Apa jenis ancaman yang mencakup ancaman dari luar negeri?</t>
  </si>
  <si>
    <t>Ancaman Sosial</t>
  </si>
  <si>
    <t>Ancaman Ekonomi</t>
  </si>
  <si>
    <t>Ancaman Militer</t>
  </si>
  <si>
    <t>Ancaman Politik</t>
  </si>
  <si>
    <t>Ancaman Ekologi</t>
  </si>
  <si>
    <t>Ancaman dari luar negeri termasuk ancaman militer yang dapat mengancam keutuhan NKRI.</t>
  </si>
  <si>
    <t>Siapa tokoh yang berperan dalam merancang sistem pertahanan negara Indonesia?</t>
  </si>
  <si>
    <t>Jenderal Soedirman</t>
  </si>
  <si>
    <t>Jenderal Ahmad Yani</t>
  </si>
  <si>
    <t>Jenderal Sudirman</t>
  </si>
  <si>
    <t>Presiden Soekarno</t>
  </si>
  <si>
    <t>Panglima TNI</t>
  </si>
  <si>
    <t>Jenderal Ahmad Yani adalah tokoh yang berperan dalam merancang sistem pertahanan negara Indonesia.</t>
  </si>
  <si>
    <t>Sejarah Perjuangan Bangsa</t>
  </si>
  <si>
    <t>Siapakah pemimpin perlawanan terhadap Belanda dalam Perang Diponegoro?</t>
  </si>
  <si>
    <t>Sultan Hasanuddin</t>
  </si>
  <si>
    <t>Diponegoro</t>
  </si>
  <si>
    <t>Pangeran Antasari</t>
  </si>
  <si>
    <t>Pattimura</t>
  </si>
  <si>
    <t>Imam Bonjol</t>
  </si>
  <si>
    <t>Perang Diponegoro dipimpin oleh Pangeran Diponegoro melawan Belanda pada tahun 1825-1830.</t>
  </si>
  <si>
    <t>Peristiwa apa yang dikenal sebagai awal mula perjuangan bersenjata rakyat Indonesia melawan Jepang?</t>
  </si>
  <si>
    <t>Insiden Hotel Yamato</t>
  </si>
  <si>
    <t>Pertempuran Ambarawa</t>
  </si>
  <si>
    <t>Pertempuran Surabaya</t>
  </si>
  <si>
    <t>Pemberontakan PETA</t>
  </si>
  <si>
    <t>Agresi Militer I</t>
  </si>
  <si>
    <t>Pemberontakan PETA (Pembela Tanah Air) di Blitar tahun 1945 menandai awal perjuangan bersenjata melawan Jepang.</t>
  </si>
  <si>
    <t>Siapakah yang dikenal sebagai "Bapak Pendidikan Nasional" dan juga tokoh pergerakan kebangsaan?</t>
  </si>
  <si>
    <t>Tjokroaminoto</t>
  </si>
  <si>
    <t>Sutan Sjahrir</t>
  </si>
  <si>
    <t>Ki Hadjar Dewantara adalah tokoh pendidikan dan pergerakan kebangsaan yang dikenal sebagai "Bapak Pendidikan Nasional".</t>
  </si>
  <si>
    <t>Apa makna dari Sumpah Pemuda bagi perjuangan bangsa Indonesia?</t>
  </si>
  <si>
    <t>Menegaskan semangat persatuan</t>
  </si>
  <si>
    <t>Menolak penjajahan secara total</t>
  </si>
  <si>
    <t>Mengusir penjajah dari tanah air</t>
  </si>
  <si>
    <t>Mendirikan pemerintahan sendiri</t>
  </si>
  <si>
    <t>Menjalin hubungan internasional</t>
  </si>
  <si>
    <t>Sumpah Pemuda 1928 menegaskan semangat persatuan di antara pemuda Indonesia, yang merupakan fondasi penting bagi perjuangan kemerdekaan.</t>
  </si>
  <si>
    <t>Siapakah tokoh yang memimpin perlawanan terhadap VOC di Maluku?</t>
  </si>
  <si>
    <t>Sultan Agung</t>
  </si>
  <si>
    <t>Pangeran Diponegoro</t>
  </si>
  <si>
    <t>Cut Nyak Dien</t>
  </si>
  <si>
    <t>Pattimura, atau Thomas Matulessy, adalah tokoh yang memimpin perlawanan terhadap VOC di Maluku pada awal abad ke-19.</t>
  </si>
  <si>
    <t>Apa yang menjadi latar belakang terjadinya Perang Aceh melawan Belanda?</t>
  </si>
  <si>
    <t>Penolakan Aceh atas perjanjian Belanda-Inggris</t>
  </si>
  <si>
    <t>Pengaruh Portugis yang semakin kuat</t>
  </si>
  <si>
    <t>Perebutan wilayah oleh Jepang</t>
  </si>
  <si>
    <t>Keinginan Aceh untuk memisahkan diri</t>
  </si>
  <si>
    <t>Penindasan ekonomi oleh VOC</t>
  </si>
  <si>
    <t>Perang Aceh terjadi karena penolakan rakyat Aceh terhadap perjanjian antara Belanda dan Inggris yang tidak melibatkan Aceh.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</si>
</sst>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" t="s">
        <v>14</v>
      </c>
      <c r="B2" s="2" t="s">
        <v>15</v>
      </c>
      <c r="C2" s="2" t="s">
        <v>16</v>
      </c>
      <c r="D2" s="3">
        <f t="shared" ref="D2:D13" si="1">IF(N2="A", 1, 0)</f>
        <v>1</v>
      </c>
      <c r="E2" s="2" t="s">
        <v>17</v>
      </c>
      <c r="F2" s="3">
        <f t="shared" ref="F2:F13" si="2">IF(N2="B", 1, 0)</f>
        <v>0</v>
      </c>
      <c r="G2" s="2" t="s">
        <v>18</v>
      </c>
      <c r="H2" s="3">
        <f t="shared" ref="H2:H13" si="3">IF(N2="C", 1, 0)</f>
        <v>0</v>
      </c>
      <c r="I2" s="2" t="s">
        <v>19</v>
      </c>
      <c r="J2" s="3">
        <f t="shared" ref="J2:J13" si="4">IF(N2="D", 1, 0)</f>
        <v>0</v>
      </c>
      <c r="K2" s="2" t="s">
        <v>20</v>
      </c>
      <c r="L2" s="3">
        <f t="shared" ref="L2:L13" si="5">IF(N2="E", 1, 0)</f>
        <v>0</v>
      </c>
      <c r="M2" s="2" t="s">
        <v>21</v>
      </c>
      <c r="N2" s="2" t="s">
        <v>2</v>
      </c>
    </row>
    <row r="3">
      <c r="A3" s="2" t="s">
        <v>14</v>
      </c>
      <c r="B3" s="2" t="s">
        <v>22</v>
      </c>
      <c r="C3" s="4">
        <v>16586.0</v>
      </c>
      <c r="D3" s="3">
        <f t="shared" si="1"/>
        <v>0</v>
      </c>
      <c r="E3" s="4">
        <v>16589.0</v>
      </c>
      <c r="F3" s="3">
        <f t="shared" si="2"/>
        <v>1</v>
      </c>
      <c r="G3" s="4">
        <v>16666.0</v>
      </c>
      <c r="H3" s="3">
        <f t="shared" si="3"/>
        <v>0</v>
      </c>
      <c r="I3" s="4">
        <v>16667.0</v>
      </c>
      <c r="J3" s="3">
        <f t="shared" si="4"/>
        <v>0</v>
      </c>
      <c r="K3" s="4">
        <v>16610.0</v>
      </c>
      <c r="L3" s="3">
        <f t="shared" si="5"/>
        <v>0</v>
      </c>
      <c r="M3" s="2" t="s">
        <v>23</v>
      </c>
      <c r="N3" s="2" t="s">
        <v>4</v>
      </c>
    </row>
    <row r="4">
      <c r="A4" s="2" t="s">
        <v>14</v>
      </c>
      <c r="B4" s="2" t="s">
        <v>24</v>
      </c>
      <c r="C4" s="2" t="s">
        <v>25</v>
      </c>
      <c r="D4" s="3">
        <f t="shared" si="1"/>
        <v>1</v>
      </c>
      <c r="E4" s="2" t="s">
        <v>26</v>
      </c>
      <c r="F4" s="3">
        <f t="shared" si="2"/>
        <v>0</v>
      </c>
      <c r="G4" s="2" t="s">
        <v>27</v>
      </c>
      <c r="H4" s="3">
        <f t="shared" si="3"/>
        <v>0</v>
      </c>
      <c r="I4" s="2" t="s">
        <v>28</v>
      </c>
      <c r="J4" s="3">
        <f t="shared" si="4"/>
        <v>0</v>
      </c>
      <c r="K4" s="2" t="s">
        <v>29</v>
      </c>
      <c r="L4" s="3">
        <f t="shared" si="5"/>
        <v>0</v>
      </c>
      <c r="M4" s="2" t="s">
        <v>30</v>
      </c>
      <c r="N4" s="2" t="s">
        <v>2</v>
      </c>
    </row>
    <row r="5">
      <c r="A5" s="2" t="s">
        <v>14</v>
      </c>
      <c r="B5" s="2" t="s">
        <v>31</v>
      </c>
      <c r="C5" s="2" t="s">
        <v>32</v>
      </c>
      <c r="D5" s="3">
        <f t="shared" si="1"/>
        <v>1</v>
      </c>
      <c r="E5" s="2" t="s">
        <v>33</v>
      </c>
      <c r="F5" s="3">
        <f t="shared" si="2"/>
        <v>0</v>
      </c>
      <c r="G5" s="2" t="s">
        <v>34</v>
      </c>
      <c r="H5" s="3">
        <f t="shared" si="3"/>
        <v>0</v>
      </c>
      <c r="I5" s="2" t="s">
        <v>35</v>
      </c>
      <c r="J5" s="3">
        <f t="shared" si="4"/>
        <v>0</v>
      </c>
      <c r="K5" s="2" t="s">
        <v>36</v>
      </c>
      <c r="L5" s="3">
        <f t="shared" si="5"/>
        <v>0</v>
      </c>
      <c r="M5" s="2" t="s">
        <v>37</v>
      </c>
      <c r="N5" s="2" t="s">
        <v>2</v>
      </c>
    </row>
    <row r="6">
      <c r="A6" s="2" t="s">
        <v>14</v>
      </c>
      <c r="B6" s="2" t="s">
        <v>38</v>
      </c>
      <c r="C6" s="2" t="s">
        <v>39</v>
      </c>
      <c r="D6" s="3">
        <f t="shared" si="1"/>
        <v>1</v>
      </c>
      <c r="E6" s="2" t="s">
        <v>40</v>
      </c>
      <c r="F6" s="3">
        <f t="shared" si="2"/>
        <v>0</v>
      </c>
      <c r="G6" s="2" t="s">
        <v>41</v>
      </c>
      <c r="H6" s="3">
        <f t="shared" si="3"/>
        <v>0</v>
      </c>
      <c r="I6" s="2" t="s">
        <v>42</v>
      </c>
      <c r="J6" s="3">
        <f t="shared" si="4"/>
        <v>0</v>
      </c>
      <c r="K6" s="2" t="s">
        <v>43</v>
      </c>
      <c r="L6" s="3">
        <f t="shared" si="5"/>
        <v>0</v>
      </c>
      <c r="M6" s="2" t="s">
        <v>44</v>
      </c>
      <c r="N6" s="2" t="s">
        <v>2</v>
      </c>
    </row>
    <row r="7">
      <c r="A7" s="2" t="s">
        <v>14</v>
      </c>
      <c r="B7" s="2" t="s">
        <v>45</v>
      </c>
      <c r="C7" s="2" t="s">
        <v>46</v>
      </c>
      <c r="D7" s="3">
        <f t="shared" si="1"/>
        <v>1</v>
      </c>
      <c r="E7" s="2" t="s">
        <v>47</v>
      </c>
      <c r="F7" s="3">
        <f t="shared" si="2"/>
        <v>0</v>
      </c>
      <c r="G7" s="2" t="s">
        <v>48</v>
      </c>
      <c r="H7" s="3">
        <f t="shared" si="3"/>
        <v>0</v>
      </c>
      <c r="I7" s="2" t="s">
        <v>49</v>
      </c>
      <c r="J7" s="3">
        <f t="shared" si="4"/>
        <v>0</v>
      </c>
      <c r="K7" s="2" t="s">
        <v>50</v>
      </c>
      <c r="L7" s="3">
        <f t="shared" si="5"/>
        <v>0</v>
      </c>
      <c r="M7" s="2" t="s">
        <v>51</v>
      </c>
      <c r="N7" s="2" t="s">
        <v>2</v>
      </c>
    </row>
    <row r="8">
      <c r="A8" s="2" t="s">
        <v>52</v>
      </c>
      <c r="B8" s="2" t="s">
        <v>53</v>
      </c>
      <c r="C8" s="2" t="s">
        <v>54</v>
      </c>
      <c r="D8" s="3">
        <f t="shared" si="1"/>
        <v>0</v>
      </c>
      <c r="E8" s="2" t="s">
        <v>17</v>
      </c>
      <c r="F8" s="3">
        <f t="shared" si="2"/>
        <v>0</v>
      </c>
      <c r="G8" s="2" t="s">
        <v>55</v>
      </c>
      <c r="H8" s="3">
        <f t="shared" si="3"/>
        <v>0</v>
      </c>
      <c r="I8" s="2" t="s">
        <v>19</v>
      </c>
      <c r="J8" s="3">
        <f t="shared" si="4"/>
        <v>1</v>
      </c>
      <c r="K8" s="2" t="s">
        <v>56</v>
      </c>
      <c r="L8" s="3">
        <f t="shared" si="5"/>
        <v>0</v>
      </c>
      <c r="M8" s="2" t="s">
        <v>57</v>
      </c>
      <c r="N8" s="2" t="s">
        <v>8</v>
      </c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 t="s">
        <v>52</v>
      </c>
      <c r="B9" s="2" t="s">
        <v>58</v>
      </c>
      <c r="C9" s="2" t="s">
        <v>59</v>
      </c>
      <c r="D9" s="3">
        <f t="shared" si="1"/>
        <v>0</v>
      </c>
      <c r="E9" s="2" t="s">
        <v>60</v>
      </c>
      <c r="F9" s="3">
        <f t="shared" si="2"/>
        <v>0</v>
      </c>
      <c r="G9" s="2" t="s">
        <v>61</v>
      </c>
      <c r="H9" s="3">
        <f t="shared" si="3"/>
        <v>0</v>
      </c>
      <c r="I9" s="2" t="s">
        <v>62</v>
      </c>
      <c r="J9" s="3">
        <f t="shared" si="4"/>
        <v>0</v>
      </c>
      <c r="K9" s="2" t="s">
        <v>63</v>
      </c>
      <c r="L9" s="3">
        <f t="shared" si="5"/>
        <v>1</v>
      </c>
      <c r="M9" s="2" t="s">
        <v>64</v>
      </c>
      <c r="N9" s="2" t="s">
        <v>10</v>
      </c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 t="s">
        <v>52</v>
      </c>
      <c r="B10" s="2" t="s">
        <v>65</v>
      </c>
      <c r="C10" s="2" t="s">
        <v>66</v>
      </c>
      <c r="D10" s="3">
        <f t="shared" si="1"/>
        <v>0</v>
      </c>
      <c r="E10" s="2" t="s">
        <v>67</v>
      </c>
      <c r="F10" s="3">
        <f t="shared" si="2"/>
        <v>1</v>
      </c>
      <c r="G10" s="2" t="s">
        <v>68</v>
      </c>
      <c r="H10" s="3">
        <f t="shared" si="3"/>
        <v>0</v>
      </c>
      <c r="I10" s="2" t="s">
        <v>69</v>
      </c>
      <c r="J10" s="3">
        <f t="shared" si="4"/>
        <v>0</v>
      </c>
      <c r="K10" s="2" t="s">
        <v>70</v>
      </c>
      <c r="L10" s="3">
        <f t="shared" si="5"/>
        <v>0</v>
      </c>
      <c r="M10" s="2" t="s">
        <v>71</v>
      </c>
      <c r="N10" s="2" t="s">
        <v>4</v>
      </c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 t="s">
        <v>52</v>
      </c>
      <c r="B11" s="2" t="s">
        <v>72</v>
      </c>
      <c r="C11" s="2" t="s">
        <v>73</v>
      </c>
      <c r="D11" s="3">
        <f t="shared" si="1"/>
        <v>0</v>
      </c>
      <c r="E11" s="2" t="s">
        <v>74</v>
      </c>
      <c r="F11" s="3">
        <f t="shared" si="2"/>
        <v>1</v>
      </c>
      <c r="G11" s="2" t="s">
        <v>75</v>
      </c>
      <c r="H11" s="3">
        <f t="shared" si="3"/>
        <v>0</v>
      </c>
      <c r="I11" s="2" t="s">
        <v>76</v>
      </c>
      <c r="J11" s="3">
        <f t="shared" si="4"/>
        <v>0</v>
      </c>
      <c r="K11" s="2" t="s">
        <v>77</v>
      </c>
      <c r="L11" s="3">
        <f t="shared" si="5"/>
        <v>0</v>
      </c>
      <c r="M11" s="2" t="s">
        <v>78</v>
      </c>
      <c r="N11" s="2" t="s">
        <v>4</v>
      </c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 t="s">
        <v>52</v>
      </c>
      <c r="B12" s="2" t="s">
        <v>79</v>
      </c>
      <c r="C12" s="2" t="s">
        <v>80</v>
      </c>
      <c r="D12" s="3">
        <f t="shared" si="1"/>
        <v>0</v>
      </c>
      <c r="E12" s="2" t="s">
        <v>81</v>
      </c>
      <c r="F12" s="3">
        <f t="shared" si="2"/>
        <v>0</v>
      </c>
      <c r="G12" s="2" t="s">
        <v>82</v>
      </c>
      <c r="H12" s="3">
        <f t="shared" si="3"/>
        <v>0</v>
      </c>
      <c r="I12" s="2" t="s">
        <v>83</v>
      </c>
      <c r="J12" s="3">
        <f t="shared" si="4"/>
        <v>1</v>
      </c>
      <c r="K12" s="2" t="s">
        <v>84</v>
      </c>
      <c r="L12" s="3">
        <f t="shared" si="5"/>
        <v>0</v>
      </c>
      <c r="M12" s="2" t="s">
        <v>85</v>
      </c>
      <c r="N12" s="2" t="s"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 t="s">
        <v>52</v>
      </c>
      <c r="B13" s="2" t="s">
        <v>86</v>
      </c>
      <c r="C13" s="2" t="s">
        <v>87</v>
      </c>
      <c r="D13" s="3">
        <f t="shared" si="1"/>
        <v>0</v>
      </c>
      <c r="E13" s="2" t="s">
        <v>88</v>
      </c>
      <c r="F13" s="3">
        <f t="shared" si="2"/>
        <v>1</v>
      </c>
      <c r="G13" s="2" t="s">
        <v>89</v>
      </c>
      <c r="H13" s="3">
        <f t="shared" si="3"/>
        <v>0</v>
      </c>
      <c r="I13" s="2" t="s">
        <v>90</v>
      </c>
      <c r="J13" s="3">
        <f t="shared" si="4"/>
        <v>0</v>
      </c>
      <c r="K13" s="2" t="s">
        <v>91</v>
      </c>
      <c r="L13" s="3">
        <f t="shared" si="5"/>
        <v>0</v>
      </c>
      <c r="M13" s="2" t="s">
        <v>92</v>
      </c>
      <c r="N13" s="2" t="s">
        <v>4</v>
      </c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 t="s">
        <v>93</v>
      </c>
      <c r="B14" s="2" t="s">
        <v>94</v>
      </c>
      <c r="C14" s="2" t="s">
        <v>95</v>
      </c>
      <c r="D14" s="3">
        <v>1.0</v>
      </c>
      <c r="E14" s="2" t="s">
        <v>96</v>
      </c>
      <c r="F14" s="3">
        <v>0.0</v>
      </c>
      <c r="G14" s="2" t="s">
        <v>97</v>
      </c>
      <c r="H14" s="3">
        <v>0.0</v>
      </c>
      <c r="I14" s="2" t="s">
        <v>98</v>
      </c>
      <c r="J14" s="3">
        <v>0.0</v>
      </c>
      <c r="K14" s="2" t="s">
        <v>99</v>
      </c>
      <c r="L14" s="3">
        <v>0.0</v>
      </c>
      <c r="M14" s="2" t="s">
        <v>100</v>
      </c>
      <c r="N14" s="2" t="s">
        <v>2</v>
      </c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 t="s">
        <v>93</v>
      </c>
      <c r="B15" s="2" t="s">
        <v>101</v>
      </c>
      <c r="C15" s="2" t="s">
        <v>102</v>
      </c>
      <c r="D15" s="3">
        <v>0.0</v>
      </c>
      <c r="E15" s="2" t="s">
        <v>103</v>
      </c>
      <c r="F15" s="3">
        <v>1.0</v>
      </c>
      <c r="G15" s="2" t="s">
        <v>104</v>
      </c>
      <c r="H15" s="3">
        <v>0.0</v>
      </c>
      <c r="I15" s="2" t="s">
        <v>105</v>
      </c>
      <c r="J15" s="3">
        <v>0.0</v>
      </c>
      <c r="K15" s="2" t="s">
        <v>106</v>
      </c>
      <c r="L15" s="3">
        <v>0.0</v>
      </c>
      <c r="M15" s="2" t="s">
        <v>107</v>
      </c>
      <c r="N15" s="2" t="s">
        <v>4</v>
      </c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 t="s">
        <v>93</v>
      </c>
      <c r="B16" s="2" t="s">
        <v>108</v>
      </c>
      <c r="C16" s="2" t="s">
        <v>109</v>
      </c>
      <c r="D16" s="3">
        <v>0.0</v>
      </c>
      <c r="E16" s="2" t="s">
        <v>110</v>
      </c>
      <c r="F16" s="3">
        <v>1.0</v>
      </c>
      <c r="G16" s="2" t="s">
        <v>111</v>
      </c>
      <c r="H16" s="3">
        <v>0.0</v>
      </c>
      <c r="I16" s="2" t="s">
        <v>112</v>
      </c>
      <c r="J16" s="3">
        <v>0.0</v>
      </c>
      <c r="K16" s="2" t="s">
        <v>113</v>
      </c>
      <c r="L16" s="3">
        <v>0.0</v>
      </c>
      <c r="M16" s="2" t="s">
        <v>114</v>
      </c>
      <c r="N16" s="2" t="s">
        <v>4</v>
      </c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 t="s">
        <v>93</v>
      </c>
      <c r="B17" s="2" t="s">
        <v>115</v>
      </c>
      <c r="C17" s="2" t="s">
        <v>116</v>
      </c>
      <c r="D17" s="3">
        <v>1.0</v>
      </c>
      <c r="E17" s="2" t="s">
        <v>117</v>
      </c>
      <c r="F17" s="3">
        <v>0.0</v>
      </c>
      <c r="G17" s="2" t="s">
        <v>118</v>
      </c>
      <c r="H17" s="3">
        <v>0.0</v>
      </c>
      <c r="I17" s="2" t="s">
        <v>119</v>
      </c>
      <c r="J17" s="3">
        <v>0.0</v>
      </c>
      <c r="K17" s="2" t="s">
        <v>120</v>
      </c>
      <c r="L17" s="3">
        <v>0.0</v>
      </c>
      <c r="M17" s="2" t="s">
        <v>121</v>
      </c>
      <c r="N17" s="2" t="s">
        <v>2</v>
      </c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 t="s">
        <v>93</v>
      </c>
      <c r="B18" s="2" t="s">
        <v>122</v>
      </c>
      <c r="C18" s="2" t="s">
        <v>123</v>
      </c>
      <c r="D18" s="3">
        <v>0.0</v>
      </c>
      <c r="E18" s="2" t="s">
        <v>124</v>
      </c>
      <c r="F18" s="3">
        <v>1.0</v>
      </c>
      <c r="G18" s="2" t="s">
        <v>125</v>
      </c>
      <c r="H18" s="3">
        <v>0.0</v>
      </c>
      <c r="I18" s="2" t="s">
        <v>126</v>
      </c>
      <c r="J18" s="3">
        <v>0.0</v>
      </c>
      <c r="K18" s="2" t="s">
        <v>127</v>
      </c>
      <c r="L18" s="3">
        <v>0.0</v>
      </c>
      <c r="M18" s="2" t="s">
        <v>128</v>
      </c>
      <c r="N18" s="2" t="s">
        <v>4</v>
      </c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 t="s">
        <v>93</v>
      </c>
      <c r="B19" s="2" t="s">
        <v>129</v>
      </c>
      <c r="C19" s="2" t="s">
        <v>130</v>
      </c>
      <c r="D19" s="3">
        <v>0.0</v>
      </c>
      <c r="E19" s="2" t="s">
        <v>131</v>
      </c>
      <c r="F19" s="3">
        <v>1.0</v>
      </c>
      <c r="G19" s="2" t="s">
        <v>132</v>
      </c>
      <c r="H19" s="3">
        <v>0.0</v>
      </c>
      <c r="I19" s="2" t="s">
        <v>133</v>
      </c>
      <c r="J19" s="3">
        <v>0.0</v>
      </c>
      <c r="K19" s="2" t="s">
        <v>134</v>
      </c>
      <c r="L19" s="3">
        <v>0.0</v>
      </c>
      <c r="M19" s="2" t="s">
        <v>135</v>
      </c>
      <c r="N19" s="2" t="s">
        <v>4</v>
      </c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 t="s">
        <v>136</v>
      </c>
      <c r="B20" s="2" t="s">
        <v>137</v>
      </c>
      <c r="C20" s="2" t="s">
        <v>138</v>
      </c>
      <c r="D20" s="3">
        <v>0.0</v>
      </c>
      <c r="E20" s="2" t="s">
        <v>139</v>
      </c>
      <c r="F20" s="3">
        <v>0.0</v>
      </c>
      <c r="G20" s="2" t="s">
        <v>140</v>
      </c>
      <c r="H20" s="3">
        <v>1.0</v>
      </c>
      <c r="I20" s="2" t="s">
        <v>141</v>
      </c>
      <c r="J20" s="3">
        <v>0.0</v>
      </c>
      <c r="K20" s="2" t="s">
        <v>142</v>
      </c>
      <c r="L20" s="3">
        <v>0.0</v>
      </c>
      <c r="M20" s="2" t="s">
        <v>143</v>
      </c>
      <c r="N20" s="2" t="s">
        <v>6</v>
      </c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 t="s">
        <v>136</v>
      </c>
      <c r="B21" s="2" t="s">
        <v>144</v>
      </c>
      <c r="C21" s="2" t="s">
        <v>145</v>
      </c>
      <c r="D21" s="3">
        <v>1.0</v>
      </c>
      <c r="E21" s="2" t="s">
        <v>146</v>
      </c>
      <c r="F21" s="3">
        <v>0.0</v>
      </c>
      <c r="G21" s="2" t="s">
        <v>147</v>
      </c>
      <c r="H21" s="3">
        <v>0.0</v>
      </c>
      <c r="I21" s="2" t="s">
        <v>148</v>
      </c>
      <c r="J21" s="3">
        <v>0.0</v>
      </c>
      <c r="K21" s="2" t="s">
        <v>149</v>
      </c>
      <c r="L21" s="3">
        <v>0.0</v>
      </c>
      <c r="M21" s="2" t="s">
        <v>150</v>
      </c>
      <c r="N21" s="2" t="s">
        <v>2</v>
      </c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 t="s">
        <v>136</v>
      </c>
      <c r="B22" s="2" t="s">
        <v>151</v>
      </c>
      <c r="C22" s="2" t="s">
        <v>152</v>
      </c>
      <c r="D22" s="3">
        <v>1.0</v>
      </c>
      <c r="E22" s="2" t="s">
        <v>153</v>
      </c>
      <c r="F22" s="3">
        <v>0.0</v>
      </c>
      <c r="G22" s="2" t="s">
        <v>154</v>
      </c>
      <c r="H22" s="3">
        <v>0.0</v>
      </c>
      <c r="I22" s="2" t="s">
        <v>155</v>
      </c>
      <c r="J22" s="3">
        <v>0.0</v>
      </c>
      <c r="K22" s="2" t="s">
        <v>156</v>
      </c>
      <c r="L22" s="3">
        <v>0.0</v>
      </c>
      <c r="M22" s="2" t="s">
        <v>157</v>
      </c>
      <c r="N22" s="2" t="s">
        <v>2</v>
      </c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 t="s">
        <v>136</v>
      </c>
      <c r="B23" s="2" t="s">
        <v>158</v>
      </c>
      <c r="C23" s="2" t="s">
        <v>159</v>
      </c>
      <c r="D23" s="3">
        <v>0.0</v>
      </c>
      <c r="E23" s="2" t="s">
        <v>160</v>
      </c>
      <c r="F23" s="3">
        <v>1.0</v>
      </c>
      <c r="G23" s="2" t="s">
        <v>161</v>
      </c>
      <c r="H23" s="3">
        <v>0.0</v>
      </c>
      <c r="I23" s="2" t="s">
        <v>162</v>
      </c>
      <c r="J23" s="3">
        <v>0.0</v>
      </c>
      <c r="K23" s="2" t="s">
        <v>163</v>
      </c>
      <c r="L23" s="3">
        <v>0.0</v>
      </c>
      <c r="M23" s="2" t="s">
        <v>164</v>
      </c>
      <c r="N23" s="2" t="s">
        <v>4</v>
      </c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 t="s">
        <v>136</v>
      </c>
      <c r="B24" s="2" t="s">
        <v>165</v>
      </c>
      <c r="C24" s="2" t="s">
        <v>166</v>
      </c>
      <c r="D24" s="3">
        <v>0.0</v>
      </c>
      <c r="E24" s="2" t="s">
        <v>167</v>
      </c>
      <c r="F24" s="3">
        <v>0.0</v>
      </c>
      <c r="G24" s="2" t="s">
        <v>168</v>
      </c>
      <c r="H24" s="3">
        <v>1.0</v>
      </c>
      <c r="I24" s="2" t="s">
        <v>169</v>
      </c>
      <c r="J24" s="3">
        <v>0.0</v>
      </c>
      <c r="K24" s="2" t="s">
        <v>170</v>
      </c>
      <c r="L24" s="3">
        <v>0.0</v>
      </c>
      <c r="M24" s="2" t="s">
        <v>171</v>
      </c>
      <c r="N24" s="2" t="s">
        <v>6</v>
      </c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 t="s">
        <v>136</v>
      </c>
      <c r="B25" s="2" t="s">
        <v>172</v>
      </c>
      <c r="C25" s="2" t="s">
        <v>173</v>
      </c>
      <c r="D25" s="3">
        <v>0.0</v>
      </c>
      <c r="E25" s="2" t="s">
        <v>174</v>
      </c>
      <c r="F25" s="3">
        <v>1.0</v>
      </c>
      <c r="G25" s="2" t="s">
        <v>175</v>
      </c>
      <c r="H25" s="3">
        <v>0.0</v>
      </c>
      <c r="I25" s="2" t="s">
        <v>176</v>
      </c>
      <c r="J25" s="3">
        <v>0.0</v>
      </c>
      <c r="K25" s="2" t="s">
        <v>177</v>
      </c>
      <c r="L25" s="3">
        <v>0.0</v>
      </c>
      <c r="M25" s="2" t="s">
        <v>178</v>
      </c>
      <c r="N25" s="2" t="s">
        <v>4</v>
      </c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 t="s">
        <v>179</v>
      </c>
      <c r="B26" s="2" t="s">
        <v>180</v>
      </c>
      <c r="C26" s="2" t="s">
        <v>181</v>
      </c>
      <c r="D26" s="3">
        <v>0.0</v>
      </c>
      <c r="E26" s="2" t="s">
        <v>182</v>
      </c>
      <c r="F26" s="3">
        <v>1.0</v>
      </c>
      <c r="G26" s="2" t="s">
        <v>183</v>
      </c>
      <c r="H26" s="3">
        <v>0.0</v>
      </c>
      <c r="I26" s="2" t="s">
        <v>184</v>
      </c>
      <c r="J26" s="3">
        <v>0.0</v>
      </c>
      <c r="K26" s="2" t="s">
        <v>185</v>
      </c>
      <c r="L26" s="3">
        <v>0.0</v>
      </c>
      <c r="M26" s="2" t="s">
        <v>186</v>
      </c>
      <c r="N26" s="2" t="s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 t="s">
        <v>179</v>
      </c>
      <c r="B27" s="2" t="s">
        <v>187</v>
      </c>
      <c r="C27" s="2" t="s">
        <v>188</v>
      </c>
      <c r="D27" s="3">
        <v>0.0</v>
      </c>
      <c r="E27" s="2" t="s">
        <v>189</v>
      </c>
      <c r="F27" s="3">
        <v>0.0</v>
      </c>
      <c r="G27" s="2" t="s">
        <v>190</v>
      </c>
      <c r="H27" s="3">
        <v>0.0</v>
      </c>
      <c r="I27" s="2" t="s">
        <v>191</v>
      </c>
      <c r="J27" s="3">
        <v>1.0</v>
      </c>
      <c r="K27" s="2" t="s">
        <v>192</v>
      </c>
      <c r="L27" s="3">
        <v>0.0</v>
      </c>
      <c r="M27" s="2" t="s">
        <v>193</v>
      </c>
      <c r="N27" s="2" t="s">
        <v>8</v>
      </c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 t="s">
        <v>179</v>
      </c>
      <c r="B28" s="2" t="s">
        <v>194</v>
      </c>
      <c r="C28" s="2" t="s">
        <v>17</v>
      </c>
      <c r="D28" s="3">
        <v>0.0</v>
      </c>
      <c r="E28" s="2" t="s">
        <v>20</v>
      </c>
      <c r="F28" s="3">
        <v>1.0</v>
      </c>
      <c r="G28" s="2" t="s">
        <v>16</v>
      </c>
      <c r="H28" s="3">
        <v>0.0</v>
      </c>
      <c r="I28" s="2" t="s">
        <v>195</v>
      </c>
      <c r="J28" s="3">
        <v>0.0</v>
      </c>
      <c r="K28" s="2" t="s">
        <v>196</v>
      </c>
      <c r="L28" s="3">
        <v>0.0</v>
      </c>
      <c r="M28" s="2" t="s">
        <v>197</v>
      </c>
      <c r="N28" s="2" t="s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 t="s">
        <v>179</v>
      </c>
      <c r="B29" s="2" t="s">
        <v>198</v>
      </c>
      <c r="C29" s="2" t="s">
        <v>199</v>
      </c>
      <c r="D29" s="3">
        <v>1.0</v>
      </c>
      <c r="E29" s="2" t="s">
        <v>200</v>
      </c>
      <c r="F29" s="3">
        <v>0.0</v>
      </c>
      <c r="G29" s="2" t="s">
        <v>201</v>
      </c>
      <c r="H29" s="3">
        <v>0.0</v>
      </c>
      <c r="I29" s="2" t="s">
        <v>202</v>
      </c>
      <c r="J29" s="3">
        <v>0.0</v>
      </c>
      <c r="K29" s="2" t="s">
        <v>203</v>
      </c>
      <c r="L29" s="3">
        <v>0.0</v>
      </c>
      <c r="M29" s="2" t="s">
        <v>204</v>
      </c>
      <c r="N29" s="2" t="s">
        <v>2</v>
      </c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 t="s">
        <v>179</v>
      </c>
      <c r="B30" s="2" t="s">
        <v>205</v>
      </c>
      <c r="C30" s="2" t="s">
        <v>206</v>
      </c>
      <c r="D30" s="3">
        <v>0.0</v>
      </c>
      <c r="E30" s="2" t="s">
        <v>184</v>
      </c>
      <c r="F30" s="3">
        <v>1.0</v>
      </c>
      <c r="G30" s="2" t="s">
        <v>181</v>
      </c>
      <c r="H30" s="3">
        <v>0.0</v>
      </c>
      <c r="I30" s="2" t="s">
        <v>207</v>
      </c>
      <c r="J30" s="3">
        <v>0.0</v>
      </c>
      <c r="K30" s="2" t="s">
        <v>208</v>
      </c>
      <c r="L30" s="3">
        <v>0.0</v>
      </c>
      <c r="M30" s="2" t="s">
        <v>209</v>
      </c>
      <c r="N30" s="2" t="s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 t="s">
        <v>179</v>
      </c>
      <c r="B31" s="2" t="s">
        <v>210</v>
      </c>
      <c r="C31" s="2" t="s">
        <v>211</v>
      </c>
      <c r="D31" s="3">
        <v>1.0</v>
      </c>
      <c r="E31" s="2" t="s">
        <v>212</v>
      </c>
      <c r="F31" s="3">
        <v>0.0</v>
      </c>
      <c r="G31" s="2" t="s">
        <v>213</v>
      </c>
      <c r="H31" s="3">
        <v>0.0</v>
      </c>
      <c r="I31" s="2" t="s">
        <v>214</v>
      </c>
      <c r="J31" s="3">
        <v>0.0</v>
      </c>
      <c r="K31" s="2" t="s">
        <v>215</v>
      </c>
      <c r="L31" s="3">
        <v>0.0</v>
      </c>
      <c r="M31" s="2" t="s">
        <v>216</v>
      </c>
      <c r="N31" s="2" t="s">
        <v>2</v>
      </c>
      <c r="O31" s="2"/>
      <c r="P31" s="2"/>
      <c r="Q31" s="2"/>
      <c r="R31" s="2"/>
      <c r="S31" s="2"/>
      <c r="T31" s="2"/>
      <c r="U31" s="2"/>
      <c r="V31" s="2"/>
      <c r="W31" s="2"/>
      <c r="X31" s="2"/>
    </row>
  </sheetData>
  <drawing r:id="rId1"/>
</worksheet>
</file>